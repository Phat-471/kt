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CONG DOAN\SO SACH 2026\"/>
    </mc:Choice>
  </mc:AlternateContent>
  <xr:revisionPtr revIDLastSave="0" documentId="13_ncr:1_{32FCF074-D488-4E44-88CE-607F9D4E06AC}" xr6:coauthVersionLast="47" xr6:coauthVersionMax="47" xr10:uidLastSave="{00000000-0000-0000-0000-000000000000}"/>
  <bookViews>
    <workbookView xWindow="-120" yWindow="-120" windowWidth="19440" windowHeight="15000" firstSheet="13" activeTab="15" xr2:uid="{00000000-000D-0000-FFFF-FFFF00000000}"/>
  </bookViews>
  <sheets>
    <sheet name="BCQT 2023" sheetId="2" r:id="rId1"/>
    <sheet name="SỔ TM 2023" sheetId="1" r:id="rId2"/>
    <sheet name="SỔ NH 2023" sheetId="7" r:id="rId3"/>
    <sheet name="BCQT (2024 6 tháng đầu năm)" sheetId="4" r:id="rId4"/>
    <sheet name="SỔ TM 2024 6 tháng đầu năm" sheetId="6" r:id="rId5"/>
    <sheet name="BCQT 2024" sheetId="8" r:id="rId6"/>
    <sheet name="SỔ TM 2024" sheetId="10" r:id="rId7"/>
    <sheet name="SỔ NH 2024" sheetId="3" r:id="rId8"/>
    <sheet name="BANG KIEM KE TIEN MAT 2024" sheetId="11" r:id="rId9"/>
    <sheet name="BCQT 2025 (01.01-31.05)" sheetId="17" r:id="rId10"/>
    <sheet name="BCQT 2025 (01.06-13.06) " sheetId="18" r:id="rId11"/>
    <sheet name="BCQT 2025 (14.06-31.12)" sheetId="26" r:id="rId12"/>
    <sheet name="SỔ TM 2025" sheetId="24" r:id="rId13"/>
    <sheet name="SỔ NH 2025 " sheetId="25" r:id="rId14"/>
    <sheet name="BANG KIEM KE TIEN MAT 2025" sheetId="19" r:id="rId15"/>
    <sheet name="SỔ TM 2026" sheetId="27" r:id="rId16"/>
    <sheet name="SỔ NH 2026" sheetId="28" r:id="rId17"/>
  </sheets>
  <externalReferences>
    <externalReference r:id="rId18"/>
  </externalReferences>
  <definedNames>
    <definedName name="_Fill" localSheetId="11" hidden="1">#REF!</definedName>
    <definedName name="_Fill" localSheetId="13" hidden="1">#REF!</definedName>
    <definedName name="_Fill" localSheetId="16" hidden="1">#REF!</definedName>
    <definedName name="_Fill" localSheetId="12" hidden="1">#REF!</definedName>
    <definedName name="_Fill" localSheetId="15" hidden="1">#REF!</definedName>
    <definedName name="_Fill" hidden="1">#REF!</definedName>
    <definedName name="_xlnm._FilterDatabase" localSheetId="7" hidden="1">'SỔ NH 2024'!$A$11:$J$50</definedName>
    <definedName name="_xlnm._FilterDatabase" localSheetId="13" hidden="1">'SỔ NH 2025 '!$A$11:$J$74</definedName>
    <definedName name="_xlnm._FilterDatabase" localSheetId="16" hidden="1">'SỔ NH 2026'!$A$11:$J$48</definedName>
    <definedName name="_xlnm._FilterDatabase" localSheetId="12" hidden="1">'SỔ TM 2025'!$C$8:$D$84</definedName>
    <definedName name="_xlnm._FilterDatabase" localSheetId="15" hidden="1">'SỔ TM 2026'!$C$8:$D$52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" i="28" l="1"/>
  <c r="I39" i="28" s="1"/>
  <c r="I40" i="28" s="1"/>
  <c r="C49" i="27"/>
  <c r="C48" i="27"/>
  <c r="C47" i="27"/>
  <c r="C46" i="27"/>
  <c r="D23" i="27"/>
  <c r="C23" i="27"/>
  <c r="D41" i="27" l="1"/>
  <c r="D42" i="27"/>
  <c r="D43" i="27"/>
  <c r="D44" i="27"/>
  <c r="D45" i="27"/>
  <c r="D50" i="27"/>
  <c r="G51" i="27" l="1"/>
  <c r="F51" i="27"/>
  <c r="D36" i="27"/>
  <c r="C36" i="27"/>
  <c r="C20" i="27"/>
  <c r="D20" i="27"/>
  <c r="C21" i="27"/>
  <c r="D21" i="27"/>
  <c r="C22" i="27"/>
  <c r="D22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H52" i="27" l="1"/>
  <c r="D35" i="27"/>
  <c r="D15" i="27"/>
  <c r="D16" i="27"/>
  <c r="D17" i="27"/>
  <c r="D18" i="27"/>
  <c r="D19" i="27"/>
  <c r="C17" i="27"/>
  <c r="C18" i="27"/>
  <c r="C19" i="27"/>
  <c r="C45" i="27"/>
  <c r="C44" i="27"/>
  <c r="C43" i="27"/>
  <c r="C42" i="27"/>
  <c r="C41" i="27"/>
  <c r="D40" i="27"/>
  <c r="C40" i="27"/>
  <c r="D39" i="27"/>
  <c r="C39" i="27"/>
  <c r="D38" i="27"/>
  <c r="C38" i="27"/>
  <c r="D37" i="27"/>
  <c r="C37" i="27"/>
  <c r="C35" i="27"/>
  <c r="C14" i="27"/>
  <c r="C15" i="27"/>
  <c r="C16" i="27"/>
  <c r="C50" i="27"/>
  <c r="D13" i="27"/>
  <c r="D14" i="27"/>
  <c r="C13" i="27"/>
  <c r="H12" i="24" l="1"/>
  <c r="H13" i="24" s="1"/>
  <c r="H14" i="24" s="1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H27" i="24" s="1"/>
  <c r="H28" i="24" s="1"/>
  <c r="H29" i="24" s="1"/>
  <c r="H30" i="24" s="1"/>
  <c r="H31" i="24" s="1"/>
  <c r="H32" i="24" s="1"/>
  <c r="H33" i="24" s="1"/>
  <c r="H34" i="24" s="1"/>
  <c r="H35" i="24" s="1"/>
  <c r="H36" i="24" s="1"/>
  <c r="H37" i="24" s="1"/>
  <c r="H38" i="24" s="1"/>
  <c r="H39" i="24" s="1"/>
  <c r="H40" i="24" s="1"/>
  <c r="H41" i="24" s="1"/>
  <c r="H42" i="24" s="1"/>
  <c r="H43" i="24" s="1"/>
  <c r="H44" i="24" s="1"/>
  <c r="H45" i="24" s="1"/>
  <c r="H46" i="24" s="1"/>
  <c r="H47" i="24" s="1"/>
  <c r="H48" i="24" s="1"/>
  <c r="H49" i="24" s="1"/>
  <c r="H50" i="24" s="1"/>
  <c r="H51" i="24" s="1"/>
  <c r="H52" i="24" s="1"/>
  <c r="H53" i="24" s="1"/>
  <c r="H54" i="24" s="1"/>
  <c r="H55" i="24" s="1"/>
  <c r="H56" i="24" s="1"/>
  <c r="H57" i="24" s="1"/>
  <c r="H58" i="24" s="1"/>
  <c r="H59" i="24" s="1"/>
  <c r="H60" i="24" s="1"/>
  <c r="H61" i="24" s="1"/>
  <c r="H62" i="24" s="1"/>
  <c r="H63" i="24" s="1"/>
  <c r="H64" i="24" s="1"/>
  <c r="H65" i="24" s="1"/>
  <c r="H66" i="24" s="1"/>
  <c r="H67" i="24" s="1"/>
  <c r="H68" i="24" s="1"/>
  <c r="H69" i="24" s="1"/>
  <c r="H70" i="24" s="1"/>
  <c r="H71" i="24" s="1"/>
  <c r="H72" i="24" s="1"/>
  <c r="H73" i="24" s="1"/>
  <c r="H74" i="24" s="1"/>
  <c r="H75" i="24" s="1"/>
  <c r="H76" i="24" s="1"/>
  <c r="H77" i="24" s="1"/>
  <c r="H78" i="24" s="1"/>
  <c r="H79" i="24" s="1"/>
  <c r="H80" i="24" s="1"/>
  <c r="H81" i="24" s="1"/>
  <c r="H11" i="24"/>
  <c r="I15" i="28" l="1"/>
  <c r="I16" i="28" s="1"/>
  <c r="I17" i="28" s="1"/>
  <c r="I18" i="28" s="1"/>
  <c r="I19" i="28" s="1"/>
  <c r="I20" i="28" s="1"/>
  <c r="I21" i="28" s="1"/>
  <c r="I22" i="28" s="1"/>
  <c r="I23" i="28" s="1"/>
  <c r="I24" i="28" s="1"/>
  <c r="I25" i="28" s="1"/>
  <c r="I26" i="28" s="1"/>
  <c r="I27" i="28" s="1"/>
  <c r="I28" i="28" s="1"/>
  <c r="I29" i="28" s="1"/>
  <c r="I30" i="28" s="1"/>
  <c r="I31" i="28" s="1"/>
  <c r="I32" i="28" s="1"/>
  <c r="I33" i="28" s="1"/>
  <c r="I34" i="28" s="1"/>
  <c r="I35" i="28" s="1"/>
  <c r="I36" i="28" s="1"/>
  <c r="I37" i="28" s="1"/>
  <c r="H42" i="28"/>
  <c r="G42" i="28"/>
  <c r="I66" i="25"/>
  <c r="I67" i="25" s="1"/>
  <c r="H11" i="27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C12" i="27"/>
  <c r="D12" i="27"/>
  <c r="C11" i="27"/>
  <c r="D11" i="27"/>
  <c r="D51" i="27"/>
  <c r="H31" i="27" l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I43" i="28"/>
  <c r="H50" i="27" l="1"/>
  <c r="H46" i="27"/>
  <c r="H47" i="27" s="1"/>
  <c r="H48" i="27" s="1"/>
  <c r="H49" i="27" s="1"/>
  <c r="I41" i="28"/>
  <c r="E37" i="26" l="1"/>
  <c r="E30" i="26"/>
  <c r="E28" i="26" s="1"/>
  <c r="E22" i="26"/>
  <c r="E17" i="26"/>
  <c r="E14" i="26"/>
  <c r="I42" i="18"/>
  <c r="E21" i="26"/>
  <c r="D25" i="19"/>
  <c r="D17" i="19" s="1"/>
  <c r="D19" i="19"/>
  <c r="D74" i="24"/>
  <c r="D72" i="24"/>
  <c r="D73" i="24"/>
  <c r="D75" i="24"/>
  <c r="D76" i="24"/>
  <c r="D77" i="24"/>
  <c r="D78" i="24"/>
  <c r="D79" i="24"/>
  <c r="D80" i="24"/>
  <c r="D81" i="24"/>
  <c r="C75" i="24"/>
  <c r="C78" i="24"/>
  <c r="C73" i="24"/>
  <c r="D71" i="24"/>
  <c r="D62" i="24"/>
  <c r="D63" i="24"/>
  <c r="D64" i="24"/>
  <c r="D65" i="24"/>
  <c r="D66" i="24"/>
  <c r="D67" i="24"/>
  <c r="D68" i="24"/>
  <c r="D69" i="24"/>
  <c r="D70" i="24"/>
  <c r="E36" i="26" l="1"/>
  <c r="E40" i="26" s="1"/>
  <c r="E26" i="26"/>
  <c r="E41" i="26" l="1"/>
  <c r="H68" i="25" l="1"/>
  <c r="G68" i="25"/>
  <c r="I15" i="25"/>
  <c r="I16" i="25" s="1"/>
  <c r="I17" i="25" s="1"/>
  <c r="I18" i="25" s="1"/>
  <c r="I19" i="25" s="1"/>
  <c r="I20" i="25" s="1"/>
  <c r="I21" i="25" s="1"/>
  <c r="I22" i="25" s="1"/>
  <c r="I23" i="25" s="1"/>
  <c r="I24" i="25" s="1"/>
  <c r="I25" i="25" s="1"/>
  <c r="I26" i="25" s="1"/>
  <c r="I27" i="25" s="1"/>
  <c r="I28" i="25" s="1"/>
  <c r="I29" i="25" s="1"/>
  <c r="I30" i="25" s="1"/>
  <c r="I31" i="25" s="1"/>
  <c r="I32" i="25" s="1"/>
  <c r="I33" i="25" s="1"/>
  <c r="I34" i="25" s="1"/>
  <c r="I35" i="25" s="1"/>
  <c r="I36" i="25" s="1"/>
  <c r="I37" i="25" s="1"/>
  <c r="I38" i="25" s="1"/>
  <c r="I39" i="25" s="1"/>
  <c r="I40" i="25" s="1"/>
  <c r="I41" i="25" s="1"/>
  <c r="I42" i="25" s="1"/>
  <c r="I43" i="25" s="1"/>
  <c r="I44" i="25" s="1"/>
  <c r="I45" i="25" s="1"/>
  <c r="I46" i="25" s="1"/>
  <c r="I47" i="25" s="1"/>
  <c r="I48" i="25" s="1"/>
  <c r="I49" i="25" s="1"/>
  <c r="I50" i="25" s="1"/>
  <c r="I51" i="25" s="1"/>
  <c r="I52" i="25" s="1"/>
  <c r="I53" i="25" s="1"/>
  <c r="I54" i="25" s="1"/>
  <c r="I55" i="25" s="1"/>
  <c r="I56" i="25" s="1"/>
  <c r="I57" i="25" s="1"/>
  <c r="I58" i="25" s="1"/>
  <c r="I59" i="25" s="1"/>
  <c r="I60" i="25" s="1"/>
  <c r="I61" i="25" s="1"/>
  <c r="I62" i="25" s="1"/>
  <c r="I63" i="25" s="1"/>
  <c r="F83" i="24"/>
  <c r="D83" i="24"/>
  <c r="D82" i="24"/>
  <c r="C82" i="24"/>
  <c r="C81" i="24"/>
  <c r="C80" i="24"/>
  <c r="C79" i="24"/>
  <c r="C77" i="24"/>
  <c r="C74" i="24"/>
  <c r="C72" i="24"/>
  <c r="C70" i="24"/>
  <c r="C71" i="24"/>
  <c r="C68" i="24"/>
  <c r="C67" i="24"/>
  <c r="C66" i="24"/>
  <c r="C65" i="24"/>
  <c r="C64" i="24"/>
  <c r="C63" i="24"/>
  <c r="C69" i="24"/>
  <c r="C62" i="24"/>
  <c r="D61" i="24"/>
  <c r="C61" i="24"/>
  <c r="D60" i="24"/>
  <c r="C60" i="24"/>
  <c r="D59" i="24"/>
  <c r="C59" i="24"/>
  <c r="D58" i="24"/>
  <c r="C58" i="24"/>
  <c r="D57" i="24"/>
  <c r="C57" i="24"/>
  <c r="D56" i="24"/>
  <c r="C56" i="24"/>
  <c r="D55" i="24"/>
  <c r="C55" i="24"/>
  <c r="D54" i="24"/>
  <c r="C54" i="24"/>
  <c r="D53" i="24"/>
  <c r="C53" i="24"/>
  <c r="D52" i="24"/>
  <c r="C52" i="24"/>
  <c r="D51" i="24"/>
  <c r="C51" i="24"/>
  <c r="D50" i="24"/>
  <c r="C50" i="24"/>
  <c r="D49" i="24"/>
  <c r="C49" i="24"/>
  <c r="D48" i="24"/>
  <c r="C48" i="24"/>
  <c r="D47" i="24"/>
  <c r="C47" i="24"/>
  <c r="D46" i="24"/>
  <c r="C46" i="24"/>
  <c r="D45" i="24"/>
  <c r="C45" i="24"/>
  <c r="D44" i="24"/>
  <c r="C44" i="24"/>
  <c r="D43" i="24"/>
  <c r="C43" i="24"/>
  <c r="D42" i="24"/>
  <c r="C42" i="24"/>
  <c r="D41" i="24"/>
  <c r="C41" i="24"/>
  <c r="D40" i="24"/>
  <c r="C40" i="24"/>
  <c r="D39" i="24"/>
  <c r="C39" i="24"/>
  <c r="D38" i="24"/>
  <c r="C38" i="24"/>
  <c r="D37" i="24"/>
  <c r="C37" i="24"/>
  <c r="D36" i="24"/>
  <c r="C36" i="24"/>
  <c r="D35" i="24"/>
  <c r="C35" i="24"/>
  <c r="D34" i="24"/>
  <c r="C34" i="24"/>
  <c r="D33" i="24"/>
  <c r="C33" i="24"/>
  <c r="D32" i="24"/>
  <c r="C32" i="24"/>
  <c r="D31" i="24"/>
  <c r="C31" i="24"/>
  <c r="D30" i="24"/>
  <c r="C30" i="24"/>
  <c r="D29" i="24"/>
  <c r="C29" i="24"/>
  <c r="D28" i="24"/>
  <c r="C28" i="24"/>
  <c r="D27" i="24"/>
  <c r="C27" i="24"/>
  <c r="D26" i="24"/>
  <c r="C26" i="24"/>
  <c r="D25" i="24"/>
  <c r="C25" i="24"/>
  <c r="D24" i="24"/>
  <c r="C24" i="24"/>
  <c r="D23" i="24"/>
  <c r="C23" i="24"/>
  <c r="D22" i="24"/>
  <c r="C22" i="24"/>
  <c r="D21" i="24"/>
  <c r="C21" i="24"/>
  <c r="D20" i="24"/>
  <c r="C20" i="24"/>
  <c r="G19" i="24"/>
  <c r="D19" i="24"/>
  <c r="C19" i="24"/>
  <c r="D18" i="24"/>
  <c r="C18" i="24"/>
  <c r="D17" i="24"/>
  <c r="C17" i="24"/>
  <c r="D16" i="24"/>
  <c r="C16" i="24"/>
  <c r="D15" i="24"/>
  <c r="C15" i="24"/>
  <c r="D14" i="24"/>
  <c r="C14" i="24"/>
  <c r="D13" i="24"/>
  <c r="C13" i="24"/>
  <c r="D12" i="24"/>
  <c r="C12" i="24"/>
  <c r="D11" i="24"/>
  <c r="C11" i="24"/>
  <c r="I64" i="25" l="1"/>
  <c r="I65" i="25" s="1"/>
  <c r="I69" i="25"/>
  <c r="I41" i="26" s="1"/>
  <c r="G83" i="24"/>
  <c r="H84" i="24" s="1"/>
  <c r="I40" i="26" s="1"/>
  <c r="I42" i="26" l="1"/>
  <c r="K42" i="26" s="1"/>
  <c r="H82" i="24"/>
  <c r="I35" i="17"/>
  <c r="I7" i="17" l="1"/>
  <c r="I8" i="17" s="1"/>
  <c r="I9" i="17" s="1"/>
  <c r="E27" i="19" l="1"/>
  <c r="D29" i="19"/>
  <c r="E17" i="18"/>
  <c r="E36" i="18"/>
  <c r="E40" i="18" s="1"/>
  <c r="I22" i="18"/>
  <c r="E21" i="18"/>
  <c r="I14" i="18"/>
  <c r="I42" i="17"/>
  <c r="E36" i="17"/>
  <c r="E40" i="17" s="1"/>
  <c r="I22" i="17"/>
  <c r="E21" i="17"/>
  <c r="E26" i="17" s="1"/>
  <c r="E41" i="17" s="1"/>
  <c r="K42" i="17" s="1"/>
  <c r="I14" i="17"/>
  <c r="E20" i="4"/>
  <c r="I14" i="8"/>
  <c r="E26" i="18" l="1"/>
  <c r="E41" i="18" l="1"/>
  <c r="K42" i="18" s="1"/>
  <c r="I62" i="3" l="1"/>
  <c r="D28" i="11" l="1"/>
  <c r="F58" i="10" l="1"/>
  <c r="G57" i="10"/>
  <c r="G56" i="10"/>
  <c r="G55" i="10"/>
  <c r="H11" i="10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H38" i="10" s="1"/>
  <c r="H39" i="10" s="1"/>
  <c r="H40" i="10" s="1"/>
  <c r="H41" i="10" s="1"/>
  <c r="H42" i="10" s="1"/>
  <c r="H43" i="10" s="1"/>
  <c r="H44" i="10" s="1"/>
  <c r="H45" i="10" s="1"/>
  <c r="H46" i="10" s="1"/>
  <c r="H47" i="10" s="1"/>
  <c r="H48" i="10" s="1"/>
  <c r="H49" i="10" s="1"/>
  <c r="H50" i="10" s="1"/>
  <c r="H51" i="10" s="1"/>
  <c r="H52" i="10" s="1"/>
  <c r="H53" i="10" s="1"/>
  <c r="H54" i="10" s="1"/>
  <c r="G44" i="3"/>
  <c r="H55" i="10" l="1"/>
  <c r="H56" i="10" s="1"/>
  <c r="H57" i="10" s="1"/>
  <c r="G58" i="10"/>
  <c r="H59" i="10" s="1"/>
  <c r="E31" i="8"/>
  <c r="E37" i="8"/>
  <c r="I63" i="3"/>
  <c r="E30" i="8"/>
  <c r="E36" i="4"/>
  <c r="I22" i="8"/>
  <c r="E21" i="8"/>
  <c r="E26" i="8" s="1"/>
  <c r="E36" i="8" l="1"/>
  <c r="E40" i="8" s="1"/>
  <c r="E41" i="8" s="1"/>
  <c r="I41" i="8" s="1"/>
  <c r="I42" i="8" s="1"/>
  <c r="I61" i="3"/>
  <c r="I60" i="3"/>
  <c r="H44" i="3" l="1"/>
  <c r="I45" i="3" l="1"/>
  <c r="G25" i="7"/>
  <c r="I12" i="7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6" i="7" s="1"/>
  <c r="K59" i="3" l="1"/>
  <c r="L45" i="3"/>
  <c r="G11" i="6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E28" i="6"/>
  <c r="F28" i="6"/>
  <c r="E36" i="2"/>
  <c r="E26" i="4"/>
  <c r="G29" i="6" l="1"/>
  <c r="E40" i="4"/>
  <c r="E41" i="4" s="1"/>
  <c r="I15" i="3"/>
  <c r="I16" i="3" s="1"/>
  <c r="I17" i="3" s="1"/>
  <c r="I18" i="3" s="1"/>
  <c r="I19" i="3" s="1"/>
  <c r="I20" i="3" s="1"/>
  <c r="I21" i="3" l="1"/>
  <c r="I22" i="3" s="1"/>
  <c r="I23" i="3" s="1"/>
  <c r="I24" i="3" s="1"/>
  <c r="I25" i="3" s="1"/>
  <c r="I26" i="3" s="1"/>
  <c r="E38" i="1"/>
  <c r="E40" i="2"/>
  <c r="E20" i="2"/>
  <c r="E26" i="2" s="1"/>
  <c r="I27" i="3" l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F35" i="1"/>
  <c r="F34" i="1"/>
  <c r="F33" i="1"/>
  <c r="G11" i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l="1"/>
  <c r="G34" i="1" s="1"/>
  <c r="G35" i="1" s="1"/>
  <c r="G36" i="1" s="1"/>
  <c r="F38" i="1"/>
  <c r="G39" i="1" s="1"/>
  <c r="E41" i="2"/>
  <c r="G4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21AK22</author>
  </authors>
  <commentList>
    <comment ref="E3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Văn phòng phẩm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21AK22</author>
  </authors>
  <commentList>
    <comment ref="E3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Văn phòng phẩm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<sst xmlns="http://schemas.openxmlformats.org/spreadsheetml/2006/main" count="1587" uniqueCount="649">
  <si>
    <t>Mẫu: B07-TLĐ</t>
  </si>
  <si>
    <t>(Ban hành kèm theo hướng dẫn</t>
  </si>
  <si>
    <t>BÁO CÁO QUYẾT TOÁN THU, CHI TÀI CHÍNH CÔNG ĐOÀN</t>
  </si>
  <si>
    <t>A- CÁC CHỈ  TIÊU CƠ BẢN</t>
  </si>
  <si>
    <t xml:space="preserve">                 </t>
  </si>
  <si>
    <t xml:space="preserve">B- CÁC CHỈ TIÊU THU CHI TÀI CHÍNH CÔNG ĐOÀN                </t>
  </si>
  <si>
    <t xml:space="preserve">                                          </t>
  </si>
  <si>
    <t>Đơn vị tính: đồng</t>
  </si>
  <si>
    <t xml:space="preserve">TT                                                         </t>
  </si>
  <si>
    <t xml:space="preserve">NỘI DUNG                                               </t>
  </si>
  <si>
    <t>Dự toán được giao</t>
  </si>
  <si>
    <t xml:space="preserve">Quyết toán năm   </t>
  </si>
  <si>
    <t>Cấp trên duyệt</t>
  </si>
  <si>
    <t xml:space="preserve">   a- Kinh phí công đoàn cấp trên cấp theo phân phối   </t>
  </si>
  <si>
    <t xml:space="preserve">Chi tuyên truyền, đào tạo đoàn viên và người lao động  </t>
  </si>
  <si>
    <t xml:space="preserve">   b- Phụ cấp cán bộ công đoàn                         </t>
  </si>
  <si>
    <t xml:space="preserve">   c- Các khoản phải nộp theo lương                    </t>
  </si>
  <si>
    <t xml:space="preserve">Chi khác                                               </t>
  </si>
  <si>
    <t>TÀI CHÍNH CÔNG ĐOÀN PHẢI NỘP CẤP TRÊN QUẢN LÝ TRỰC TIẾP</t>
  </si>
  <si>
    <t>C-THUYẾT MINH</t>
  </si>
  <si>
    <t>PHẦN THU</t>
  </si>
  <si>
    <t>Kinh phí công đoàn</t>
  </si>
  <si>
    <t>Đoàn phí công đoàn</t>
  </si>
  <si>
    <t>Ngân sách nhà nước cấp hỗ trợ</t>
  </si>
  <si>
    <t xml:space="preserve">Mục lục TCCĐ (Mã số)                              </t>
  </si>
  <si>
    <t>I</t>
  </si>
  <si>
    <t>II</t>
  </si>
  <si>
    <t>2.1</t>
  </si>
  <si>
    <t>2.2</t>
  </si>
  <si>
    <t>2.3</t>
  </si>
  <si>
    <t>2.4</t>
  </si>
  <si>
    <t>2.5</t>
  </si>
  <si>
    <t>2.6</t>
  </si>
  <si>
    <t>III</t>
  </si>
  <si>
    <t>3.1</t>
  </si>
  <si>
    <t>3.2</t>
  </si>
  <si>
    <t>3.3</t>
  </si>
  <si>
    <t>3.4</t>
  </si>
  <si>
    <t>3.5</t>
  </si>
  <si>
    <t>3.6</t>
  </si>
  <si>
    <t>3.7</t>
  </si>
  <si>
    <t>V</t>
  </si>
  <si>
    <t>CỘNG CHI TÀI CHÍNH CÔNG ĐOÀN</t>
  </si>
  <si>
    <t>Chi lương, phụ cấp và các khoản phải nộp theo lương</t>
  </si>
  <si>
    <t>TÀI CHÍNH CÔNG ĐOÀN TÍCH LŨY CUỐI KỲ</t>
  </si>
  <si>
    <t>NGƯỜI LẬP</t>
  </si>
  <si>
    <t>Tài chính công đoàn cấp trên cấp</t>
  </si>
  <si>
    <t>Bàn giao tài chính công đoàn</t>
  </si>
  <si>
    <t>TỔNG CỘNG CHI</t>
  </si>
  <si>
    <t>TÍCH LŨY TÀI CHÍNH ĐẦU KỲ</t>
  </si>
  <si>
    <t xml:space="preserve">Các khoản thu khác  </t>
  </si>
  <si>
    <t xml:space="preserve">   - Chuyên môn hỗ trợ </t>
  </si>
  <si>
    <t xml:space="preserve">   - Thu khác</t>
  </si>
  <si>
    <t xml:space="preserve">   b- Tài chính công đoàn cấp trên cấp hỗ trợ</t>
  </si>
  <si>
    <t xml:space="preserve">Nhận bàn giao tài chính </t>
  </si>
  <si>
    <t xml:space="preserve">TỔNG CỘNG THU </t>
  </si>
  <si>
    <t>PHẦN CHI</t>
  </si>
  <si>
    <t xml:space="preserve">Chi bảo vệ, chăm lo đoàn viên và người lao động </t>
  </si>
  <si>
    <t xml:space="preserve">Chi quản lý hành chính </t>
  </si>
  <si>
    <t xml:space="preserve">   a- Lương, phụ cấp... của cán bộ trong biên chế </t>
  </si>
  <si>
    <t>25.01</t>
  </si>
  <si>
    <t>25.02</t>
  </si>
  <si>
    <t>28.01</t>
  </si>
  <si>
    <t>28.02</t>
  </si>
  <si>
    <t>34.01</t>
  </si>
  <si>
    <t>34.02</t>
  </si>
  <si>
    <t>34.03</t>
  </si>
  <si>
    <t>CỘNG THU TÀI CHÍNH CÔNG ĐOÀN</t>
  </si>
  <si>
    <t>Mẫu số S12-H</t>
  </si>
  <si>
    <t>SỔ QUỸ TIỀN MẶT</t>
  </si>
  <si>
    <t>DIỄN GIẢI</t>
  </si>
  <si>
    <t>SỐ TIỀN</t>
  </si>
  <si>
    <t>Ngày tháng</t>
  </si>
  <si>
    <t>Thu</t>
  </si>
  <si>
    <t>Chi</t>
  </si>
  <si>
    <t>Tồn quỹ</t>
  </si>
  <si>
    <t>Cộng</t>
  </si>
  <si>
    <t>Người ghi sổ</t>
  </si>
  <si>
    <t>Phụ trách kế toán</t>
  </si>
  <si>
    <t>Thủ trưởng đơn vị</t>
  </si>
  <si>
    <t>(Ký, họ tên)</t>
  </si>
  <si>
    <t>(Ký, họ tên, đóng dấu)</t>
  </si>
  <si>
    <t>SỐ HIỆU CHỨNG TỪ</t>
  </si>
  <si>
    <t>A</t>
  </si>
  <si>
    <t>B</t>
  </si>
  <si>
    <t>C</t>
  </si>
  <si>
    <t>E</t>
  </si>
  <si>
    <t>ngày 10/10/2017 của Bộ Tài chính)</t>
  </si>
  <si>
    <t>(Ban hành kèm theo Thông tư số 107/2017/TT-BTC</t>
  </si>
  <si>
    <t>Số hiệu</t>
  </si>
  <si>
    <t>Còn lại</t>
  </si>
  <si>
    <t xml:space="preserve">Cộng : </t>
  </si>
  <si>
    <t>Ghi chú</t>
  </si>
  <si>
    <t>G</t>
  </si>
  <si>
    <t>Số dư đầu kỳ</t>
  </si>
  <si>
    <t>Ngày tháng ghi sổ</t>
  </si>
  <si>
    <t>Chứng từ</t>
  </si>
  <si>
    <t>Thu (gửi vào)</t>
  </si>
  <si>
    <t>Chi (rút ra)</t>
  </si>
  <si>
    <t>D</t>
  </si>
  <si>
    <t>F</t>
  </si>
  <si>
    <t>TM. BAN CHẤP HÀNH</t>
  </si>
  <si>
    <t>CHỦ TỊCH</t>
  </si>
  <si>
    <t>số 47 ngày 30/12/2021 của Tổng Liên đoàn)</t>
  </si>
  <si>
    <t>SỔ TIỀN GỬI NGÂN HÀNG</t>
  </si>
  <si>
    <t>Ngày          tháng       năm 20…</t>
  </si>
  <si>
    <t>ĐPCĐ đã nộp cấp trên quản lý trực tiếp</t>
  </si>
  <si>
    <t>LIÊN ĐOÀN LAO ĐỘNG QUẬN TÂN PHÚ</t>
  </si>
  <si>
    <t>2.7</t>
  </si>
  <si>
    <t>Các khoản khác tăng nguồn tài chính công đoàn</t>
  </si>
  <si>
    <t>Các khoản khác giảm nguồn tài chính công đoàn</t>
  </si>
  <si>
    <t>3.8</t>
  </si>
  <si>
    <t>IV</t>
  </si>
  <si>
    <t>Năm 2023</t>
  </si>
  <si>
    <t>NĂM 2023</t>
  </si>
  <si>
    <t>Công đoàn cơ sở: CTY TNHH TKXD &amp; TM Hưng Phát</t>
  </si>
  <si>
    <t xml:space="preserve"> - Số lao động Đóng KPCĐ:   10 người</t>
  </si>
  <si>
    <t xml:space="preserve"> - Số đoàn viên:  10 người                              </t>
  </si>
  <si>
    <t xml:space="preserve"> - Số cán bộ CĐ chuyên trách:  3 người                      </t>
  </si>
  <si>
    <t xml:space="preserve"> - Quỹ lương đóng KPCĐ: 60,090,000 đồng </t>
  </si>
  <si>
    <t xml:space="preserve"> - Quỹ lương đóng ĐPCĐ: 60,090,000 đồng        </t>
  </si>
  <si>
    <t>PT2023/01</t>
  </si>
  <si>
    <t>Thu bổ sung đoàn phí công đoàn 1 % năm 2021</t>
  </si>
  <si>
    <t>PC2023/01</t>
  </si>
  <si>
    <t>PC2023/02</t>
  </si>
  <si>
    <t>PC2023/03</t>
  </si>
  <si>
    <t>PC2023/04</t>
  </si>
  <si>
    <t>PC2023/05</t>
  </si>
  <si>
    <t>PC2023/06</t>
  </si>
  <si>
    <t>PC2023/07</t>
  </si>
  <si>
    <t>PC2023/08</t>
  </si>
  <si>
    <t>PC2023/09</t>
  </si>
  <si>
    <t>PC2023/10</t>
  </si>
  <si>
    <t>PC2023/11</t>
  </si>
  <si>
    <t>PC2023/12</t>
  </si>
  <si>
    <t>PC2023/13</t>
  </si>
  <si>
    <t>PC2023/14</t>
  </si>
  <si>
    <t>PC2023/15</t>
  </si>
  <si>
    <t>PC2023/16</t>
  </si>
  <si>
    <t>PC2023/17</t>
  </si>
  <si>
    <t>PC2023/18</t>
  </si>
  <si>
    <t>PC2023/19</t>
  </si>
  <si>
    <t>PC2023/20</t>
  </si>
  <si>
    <t>PC2023/21</t>
  </si>
  <si>
    <t>PC2023/22</t>
  </si>
  <si>
    <t>PC2023/23</t>
  </si>
  <si>
    <t>PC2023/24</t>
  </si>
  <si>
    <t>PT2023/02</t>
  </si>
  <si>
    <t>Chi mừng sinh nhật đoàn viên Trịnh Xà Vong</t>
  </si>
  <si>
    <t>Chi mừng tết âm lịch cho đoàn viên (10 người)</t>
  </si>
  <si>
    <t>Chi mừng sinh nhật đoàn viên Nguyễn Thị Ngọc Trinh</t>
  </si>
  <si>
    <t>Chi mừng đoàn viên Ngô Thị Bích Ngọc sinh con</t>
  </si>
  <si>
    <t>Chi mừng lễ 8/3 cho 4 đoàn viên nữ</t>
  </si>
  <si>
    <t>Chi mừng sinh nhật đoàn viên Nguyễn Quốc Đạt</t>
  </si>
  <si>
    <t>Chi mừng sinh nhật đoàn viên Ngô Thị Bích Ngọc</t>
  </si>
  <si>
    <t>Chi mừng sinh nhật đoàn viên Nguyễn Bá Quân</t>
  </si>
  <si>
    <t xml:space="preserve">Chi mừng lễ 30/4 và 1/5 (10 đoàn viên) </t>
  </si>
  <si>
    <t>Chi mừng sinh nhật đoàn viên Nguyễn Kiên Hải</t>
  </si>
  <si>
    <t>Chi mừng sinh nhật đoàn viên Nguyễn Truyện</t>
  </si>
  <si>
    <t>Chi mừng sinh nhật đoàn viên Ngô Tiến Đạt</t>
  </si>
  <si>
    <t>Chi mừng sinh nhật đoàn viên Lê Văn Điền</t>
  </si>
  <si>
    <t>Chi mua Văn phòng phẩm</t>
  </si>
  <si>
    <t xml:space="preserve">Chi mừng lễ 02/09 (10 đoàn viên) </t>
  </si>
  <si>
    <t>Chi thăm hỏi ốm đau con đoàn viên Ngô Tiến Đạt</t>
  </si>
  <si>
    <t>Chi thăm hỏi ốm đau con đoàn viên Ngô Thị Bích Ngọc</t>
  </si>
  <si>
    <t>Chi mừng lễ 20/10 cho 4 đoàn viên nữ</t>
  </si>
  <si>
    <t>Chi mừng sinh nhật đoàn viên Nguyễn Thị Mai Thi</t>
  </si>
  <si>
    <t>Chi mừng sinh nhật đoàn viên Nguyễn Thị Thúy Hằng</t>
  </si>
  <si>
    <t>Chi phụ cấp trách nhiệm Chủ tịch CĐCS (5.010.000 x 0.2)</t>
  </si>
  <si>
    <t>Chi phụ cấp trách nhiệm Phó Chủ tịch CĐCS (5.010.000 x 0.15)</t>
  </si>
  <si>
    <t>Chi phụ cấp trách nhiệm Kế toán CĐCS (5.010.000 x 0.14)</t>
  </si>
  <si>
    <t>Thu đoàn phí công đoàn 1 % năm 2023</t>
  </si>
  <si>
    <t>NGUYỄN THỊ THÚY HẰNG</t>
  </si>
  <si>
    <t>NGÔ THỊ BÍCH NGỌC</t>
  </si>
  <si>
    <t xml:space="preserve">   NGÔ THỊ BÍCH NGỌC</t>
  </si>
  <si>
    <t>Địa chỉ: 153G Lũy Bán Bích, P. Tân Thới Hòa, Q. Tân Phú, TP. HCM</t>
  </si>
  <si>
    <t>Số dư cuối kỳ</t>
  </si>
  <si>
    <t>Ngày 31 tháng 12 năm 2023.</t>
  </si>
  <si>
    <t>NGUYỄN THỊ THÚY HĂNG</t>
  </si>
  <si>
    <t>31/01/2023</t>
  </si>
  <si>
    <t>Lãi tiền gửi NH</t>
  </si>
  <si>
    <t>28/02/2023</t>
  </si>
  <si>
    <t>31/03/2023</t>
  </si>
  <si>
    <t>30/04/2023</t>
  </si>
  <si>
    <t>31/05/2023</t>
  </si>
  <si>
    <t>30/06/2023</t>
  </si>
  <si>
    <t>31/07/2023</t>
  </si>
  <si>
    <t>31/08/2023</t>
  </si>
  <si>
    <t>30/09/2023</t>
  </si>
  <si>
    <t>31/10/2023</t>
  </si>
  <si>
    <t>30/11/2023</t>
  </si>
  <si>
    <t>31/12/2023</t>
  </si>
  <si>
    <t>Ngày 31 tháng 12 năm 2023</t>
  </si>
  <si>
    <t>PC2024/01</t>
  </si>
  <si>
    <t>Chi mua bìa đựng hồ sơ</t>
  </si>
  <si>
    <t>PC2024/02</t>
  </si>
  <si>
    <t>PC2024/03</t>
  </si>
  <si>
    <t>Chi mua kẹp giấy, kệ xéo nhựa đựng hồ sơ</t>
  </si>
  <si>
    <t>PC2024/04</t>
  </si>
  <si>
    <t>PC2024/05</t>
  </si>
  <si>
    <t>PC2024/06</t>
  </si>
  <si>
    <t>Chi thăm hỏi ốm đau đoàn viên Ngô Tiến Đạt</t>
  </si>
  <si>
    <t>PC2024/07</t>
  </si>
  <si>
    <t>Chi thăm hỏi ốm đau đoàn viên Ngô Thị Bích Ngọc</t>
  </si>
  <si>
    <t>PC2024/08</t>
  </si>
  <si>
    <t>PC2024/09</t>
  </si>
  <si>
    <t>PC2024/10</t>
  </si>
  <si>
    <t>PC2024/11</t>
  </si>
  <si>
    <t>PC2024/12</t>
  </si>
  <si>
    <t>PC2024/13</t>
  </si>
  <si>
    <t>PC2024/14</t>
  </si>
  <si>
    <t>PC2024/15</t>
  </si>
  <si>
    <t>PT2024/01</t>
  </si>
  <si>
    <t>Thu đoàn phí công đoàn 1 % 6 tháng đầu năm 2024</t>
  </si>
  <si>
    <t>Ngày 30 tháng 06 năm 2024.</t>
  </si>
  <si>
    <t>Từ ngày 01/01/2024 đến 30/06/2024</t>
  </si>
  <si>
    <t>Nơi mở tài khoản giao dịch:................</t>
  </si>
  <si>
    <t xml:space="preserve">Số hiệu tài khoản tại nơi gửi:.............. </t>
  </si>
  <si>
    <t>Loại tiền gửi:.......................................</t>
  </si>
  <si>
    <t>Người lập sổ</t>
  </si>
  <si>
    <t>Chủ Tài Khoản</t>
  </si>
  <si>
    <t>Nhận 75% KPCĐ Cấp trên của năm 2023 và 6 tháng đầu năm 2024</t>
  </si>
  <si>
    <t>Rút tiền gửi ngân hàng nhập quỹ tiền mặt</t>
  </si>
  <si>
    <t>Chi tiền phí dịch vụ E-Fast</t>
  </si>
  <si>
    <t>Thu phí dịch vụ IB Tháng 10/2024</t>
  </si>
  <si>
    <t>VAT phí dịch vụ IB Tháng 10/2024</t>
  </si>
  <si>
    <t xml:space="preserve">Nhận 75% KPCĐ Cấp trên của quý 3 năm 2024 </t>
  </si>
  <si>
    <t>Nộp 30% ĐPCĐ Quý 3 năm 2024</t>
  </si>
  <si>
    <t>Nộp 30% ĐPCĐ Tháng 10 năm 2024</t>
  </si>
  <si>
    <t>Thu phí dịch vụ IB Tháng 11/2024</t>
  </si>
  <si>
    <t>VAT phí dịch vụ IB Tháng 11/2024</t>
  </si>
  <si>
    <t>Thu phí dịch vụ IB Tháng 12/2024</t>
  </si>
  <si>
    <t>VAT phí dịch vụ IB Tháng 12/2024</t>
  </si>
  <si>
    <t xml:space="preserve">Nhận 75% KPCĐ Cấp trên của tháng 10 năm 2024 </t>
  </si>
  <si>
    <t>Nộp 30% ĐPCĐ Tháng 11 năm 2024</t>
  </si>
  <si>
    <t>Nộp 30% ĐPCĐ Tháng 12 năm 2024</t>
  </si>
  <si>
    <t>Năm 2024</t>
  </si>
  <si>
    <t xml:space="preserve"> - Số đoàn viên:                        50   người                              </t>
  </si>
  <si>
    <t xml:space="preserve"> - Số cán bộ CĐ chuyên trách:    3  người                      </t>
  </si>
  <si>
    <t xml:space="preserve"> - Số lao động Đóng KPCĐ:      50  người</t>
  </si>
  <si>
    <t xml:space="preserve"> - Quỹ lương đóng KPCĐ:                            </t>
  </si>
  <si>
    <t xml:space="preserve"> đồng </t>
  </si>
  <si>
    <t xml:space="preserve"> đồng        </t>
  </si>
  <si>
    <t xml:space="preserve"> - Quỹ lương đóng ĐPCĐ:                          </t>
  </si>
  <si>
    <t>MỤC 33</t>
  </si>
  <si>
    <t>MỤC 28.01</t>
  </si>
  <si>
    <t>MỤC 25.02</t>
  </si>
  <si>
    <t>MỤC 39</t>
  </si>
  <si>
    <t>Mẫu số S11H</t>
  </si>
  <si>
    <t>NĂM 2024</t>
  </si>
  <si>
    <t>Ngày tháng chứng từ</t>
  </si>
  <si>
    <t>Cộng phát sinh</t>
  </si>
  <si>
    <t>Chủ tịch</t>
  </si>
  <si>
    <t>BIÊN BẢN KIỂM KÊ QUỸ TIỀN MẶT</t>
  </si>
  <si>
    <t>Ban kiểm kê bao gồm:</t>
  </si>
  <si>
    <t>STT</t>
  </si>
  <si>
    <t>Diễn giải</t>
  </si>
  <si>
    <t>Số lượng (tờ)</t>
  </si>
  <si>
    <t>Số tiền</t>
  </si>
  <si>
    <t>KẾ TOÁN VÀ THỦ QUỸ PHẢI KIỂM VỚI NHAU TRÁCH SAI SÓT TIỀN</t>
  </si>
  <si>
    <t>Số dư theo số quỹ</t>
  </si>
  <si>
    <t>ghi theo số cuối kỳ sổ tiền mặt của báo cáo quyết toán</t>
  </si>
  <si>
    <t>Số kiểm kê thực tế</t>
  </si>
  <si>
    <t>Ghi theo số kiểm kê tiền mặt tại quỹ do thủ quỹ giữ</t>
  </si>
  <si>
    <t>- Loại 500.000đ</t>
  </si>
  <si>
    <t>2</t>
  </si>
  <si>
    <t>- Loại 200.000đ</t>
  </si>
  <si>
    <t>3</t>
  </si>
  <si>
    <t>- Loại 100.000đ</t>
  </si>
  <si>
    <t>4</t>
  </si>
  <si>
    <t>- Loại 50.000đ</t>
  </si>
  <si>
    <t>5</t>
  </si>
  <si>
    <t>- Loại 20.000đ</t>
  </si>
  <si>
    <t>6</t>
  </si>
  <si>
    <t>- Loại 10.000đ</t>
  </si>
  <si>
    <t xml:space="preserve"> - Loại 5.000đ</t>
  </si>
  <si>
    <t xml:space="preserve"> - Loại 2.000đ</t>
  </si>
  <si>
    <t xml:space="preserve"> - Loại 1.000đ</t>
  </si>
  <si>
    <t xml:space="preserve"> - Loại 500đ</t>
  </si>
  <si>
    <t>7</t>
  </si>
  <si>
    <t>- …</t>
  </si>
  <si>
    <t>lưu ý trên lệch không quá 500đ</t>
  </si>
  <si>
    <t>Chênh lệch:</t>
  </si>
  <si>
    <t xml:space="preserve"> - Lý do: </t>
  </si>
  <si>
    <t>Kế toán</t>
  </si>
  <si>
    <t>Thủ quỹ</t>
  </si>
  <si>
    <t>Người chịu trách nhiệm kiểm kê quỹ</t>
  </si>
  <si>
    <t>Thu đoàn phí công đoàn 1% 6 tháng đầu năm 2024</t>
  </si>
  <si>
    <t>PC2024/16</t>
  </si>
  <si>
    <t>Chi mừng đoàn viên Nguyễn Thị Thúy Hằng sinh con</t>
  </si>
  <si>
    <t>PC2024/17</t>
  </si>
  <si>
    <t>Chi mua văn phòng phẩm</t>
  </si>
  <si>
    <t>PC2024/18</t>
  </si>
  <si>
    <t>PC2024/19</t>
  </si>
  <si>
    <t xml:space="preserve">Chi mừng Lễ 02/09 (10 đoàn viên) </t>
  </si>
  <si>
    <t>PC2024/20</t>
  </si>
  <si>
    <t>Chi mừng Tết Trung Thu cho con Đoàn viên (7 bé)</t>
  </si>
  <si>
    <t>PT2024/02</t>
  </si>
  <si>
    <t>PC2024/21</t>
  </si>
  <si>
    <t>Chi nộp cấp quản lý trực tiếp 40% ĐPCĐ 1% năm 2023</t>
  </si>
  <si>
    <t>PC2024/22</t>
  </si>
  <si>
    <t>Phí ngân hàng _chi nộp cấp quản lý trực tiếp 40% ĐPCĐ 1% năm 2023</t>
  </si>
  <si>
    <t>PC2024/23</t>
  </si>
  <si>
    <t>Chi nộp cấp quản lý trực tiếp 30% ĐPCĐ 1% Quý 1, 2 năm 2024</t>
  </si>
  <si>
    <t>PC2024/24</t>
  </si>
  <si>
    <t>Phí ngân hàng_chi nộp cấp quản lý trực tiếp 30% ĐPCĐ 1% Quý 1, 2 năm 2024</t>
  </si>
  <si>
    <t>PC2024/25</t>
  </si>
  <si>
    <t>Chi mừng sinh nhật đoàn viên Nguyễn Thị Cẩm Ly</t>
  </si>
  <si>
    <t>PT2024/03</t>
  </si>
  <si>
    <t>Thu đoàn phí công đoàn 1% Quý 3 năm 2024</t>
  </si>
  <si>
    <t>PC2024/26</t>
  </si>
  <si>
    <t xml:space="preserve">Chi mừng sinh nhật đoàn viên Vòng Và Tuấn </t>
  </si>
  <si>
    <t>PC2024/27</t>
  </si>
  <si>
    <t>Chi mừng sinh nhật đoàn viên Ngô Thị Tuyết</t>
  </si>
  <si>
    <t>PT2024/04</t>
  </si>
  <si>
    <t>PC2024/28</t>
  </si>
  <si>
    <t>Chi mừng lễ 20/10 cho 19 đoàn viên nữ</t>
  </si>
  <si>
    <t>PC2024/29</t>
  </si>
  <si>
    <t>Chi mừng sinh nhật đoàn viên Lê Thị Nhã Mi</t>
  </si>
  <si>
    <t>PT2024/05</t>
  </si>
  <si>
    <t>Thu đoàn phí công đoàn 1% tháng 10 năm 2024</t>
  </si>
  <si>
    <t>PC2024/30</t>
  </si>
  <si>
    <t>PC2024/31</t>
  </si>
  <si>
    <t>Chi mừng sinh nhật đoàn viên Trần Thuận Châu</t>
  </si>
  <si>
    <t>PC2024/32</t>
  </si>
  <si>
    <t>PT2024/06</t>
  </si>
  <si>
    <t>Thu đoàn phí công đoàn 1% tháng 11 năm 2024</t>
  </si>
  <si>
    <t>PC2024/33</t>
  </si>
  <si>
    <t xml:space="preserve">Chi mừng sinh nhật đoàn viên Thái Trung Dũng </t>
  </si>
  <si>
    <t>PC2024/34</t>
  </si>
  <si>
    <t xml:space="preserve">Chi mừng sinh nhật đoàn viên Lê Hoàng Sỹ </t>
  </si>
  <si>
    <t>PC2024/35</t>
  </si>
  <si>
    <t>Chi mừng sinh nhật đoàn viên Sử Ngọc Quế</t>
  </si>
  <si>
    <t>PC2024/36</t>
  </si>
  <si>
    <t>PC2024/37</t>
  </si>
  <si>
    <t xml:space="preserve">Chi mừng Lễ Tết Dương Lịch 2025 (50 đoàn viên) </t>
  </si>
  <si>
    <t>Thu đoàn phí công đoàn 1% tháng 12 năm 2024</t>
  </si>
  <si>
    <t>PC2024/38</t>
  </si>
  <si>
    <t>Chi phụ cấp trách nhiệm Chủ tịch CĐCS (5.310.000 x 0.2)</t>
  </si>
  <si>
    <t>PC2024/39</t>
  </si>
  <si>
    <t>Chi phụ cấp trách nhiệm Phó Chủ tịch CĐCS (5.310.000 x 0.15)</t>
  </si>
  <si>
    <t>PC2024/40</t>
  </si>
  <si>
    <t>Chi phụ cấp trách nhiệm Kế toán CĐCS (5.310.000 x 0.14)</t>
  </si>
  <si>
    <t>Quận Tân Phú, ngày 31 tháng 12 năm 2024</t>
  </si>
  <si>
    <t>Nguyễn Thị Cẩm Ly</t>
  </si>
  <si>
    <t xml:space="preserve">Ngô Thị Bích Ngọc </t>
  </si>
  <si>
    <t>Liên Đoàn Lao Động Quận Tân Phú</t>
  </si>
  <si>
    <t>Mẫu số  C34-HD</t>
  </si>
  <si>
    <t>CĐCS: Công Ty TNHH TK XD &amp; TM Hưng Phát</t>
  </si>
  <si>
    <t>Hôm nay, ngày 31 tháng 12 năm 2024, vào hồi 15 giờ 30 phút.</t>
  </si>
  <si>
    <t>Ông/Bà: Nguyễn Thị Cẩm Ly</t>
  </si>
  <si>
    <t xml:space="preserve">Ông/Bà: Ngô Thị Bích Ngọc </t>
  </si>
  <si>
    <t>Chủ tịch CĐCS Trưởng Ban</t>
  </si>
  <si>
    <t>Kế toán Ủy viên</t>
  </si>
  <si>
    <t>Ngày 31 tháng 12 năm 2024</t>
  </si>
  <si>
    <t xml:space="preserve">Nguyễn Thị Cẩm Ly </t>
  </si>
  <si>
    <t>Ngô Thị Bích Ngọc</t>
  </si>
  <si>
    <t>BC-01</t>
  </si>
  <si>
    <t>BC-02</t>
  </si>
  <si>
    <t>BC-03</t>
  </si>
  <si>
    <t>BC-04</t>
  </si>
  <si>
    <t>BC-05</t>
  </si>
  <si>
    <t>BC-06</t>
  </si>
  <si>
    <t>BC-07</t>
  </si>
  <si>
    <t>BC-08</t>
  </si>
  <si>
    <t>BC-09</t>
  </si>
  <si>
    <t>BC-10</t>
  </si>
  <si>
    <t>UNC-1</t>
  </si>
  <si>
    <t>UNC-2</t>
  </si>
  <si>
    <t>UNC-3</t>
  </si>
  <si>
    <t>BC-11</t>
  </si>
  <si>
    <t>UNC-4</t>
  </si>
  <si>
    <t>UNC-5</t>
  </si>
  <si>
    <t>BC-12</t>
  </si>
  <si>
    <t>BC-13</t>
  </si>
  <si>
    <t>UNC-6</t>
  </si>
  <si>
    <t>UNC-7</t>
  </si>
  <si>
    <t>UNC-8</t>
  </si>
  <si>
    <t>UNC-9</t>
  </si>
  <si>
    <t>BC-14</t>
  </si>
  <si>
    <t>BC-15</t>
  </si>
  <si>
    <t>UNC-10</t>
  </si>
  <si>
    <t>UNC-11</t>
  </si>
  <si>
    <t>Từ ngày 01/01/2024 đến ngày 31/12/2024</t>
  </si>
  <si>
    <t>NGUYỄN THỊ CẨM LY</t>
  </si>
  <si>
    <t>- Sổ này có 01 trang</t>
  </si>
  <si>
    <t>- Ngày mở sổ: 01/01/2024</t>
  </si>
  <si>
    <t xml:space="preserve"> + Dư: 240đ</t>
  </si>
  <si>
    <t>- Kết luận sau khi kiểm quỹ: Dư 240đ do số lẻ.</t>
  </si>
  <si>
    <t>Ngày  tháng  năm 2025</t>
  </si>
  <si>
    <t>- Ngày mở sổ: 01/01/2025</t>
  </si>
  <si>
    <t>NĂM 2025</t>
  </si>
  <si>
    <t xml:space="preserve">Chi mừng sinh nhật đoàn viên Phùng Kim Ngân </t>
  </si>
  <si>
    <t xml:space="preserve">Chi mừng sinh nhật đoàn viên Nguyễn Thị Ngọc Trinh </t>
  </si>
  <si>
    <t>Thu đoàn phí công đoàn 1% quý 1 năm 2025</t>
  </si>
  <si>
    <t>PT2025/02</t>
  </si>
  <si>
    <t>Chi mừng tết âm lịch cho đoàn viên (50 người)</t>
  </si>
  <si>
    <t>Thu phí dịch vụ IB Tháng 01/2025</t>
  </si>
  <si>
    <t>VAT phí dịch vụ IB Tháng 01/2025</t>
  </si>
  <si>
    <t>Nhận 75% KPCĐ Cấp trên của Tháng 11 năm 2024</t>
  </si>
  <si>
    <t>Chi mừng sinh nhật đoàn viên Bùi Xuân Mai Thảo</t>
  </si>
  <si>
    <t xml:space="preserve">Chi mừng sinh nhật đoàn viên Huỳnh Thế Sơn </t>
  </si>
  <si>
    <t xml:space="preserve">Chi mừng sinh nhật đoàn viên Võ Thành Hưng </t>
  </si>
  <si>
    <t>Chi mừng sinh nhật đoàn viên Hứa Duy Anh Khoa</t>
  </si>
  <si>
    <t>Chi mừng sinh nhật đoàn viên Trần Thị Ngọc Dung</t>
  </si>
  <si>
    <t>Chi mừng sinh nhật đoàn viên Huỳnh Pan Anh Trọng</t>
  </si>
  <si>
    <t>Chi mừng lễ 08/03 cho đoàn viên nữ (18 người)</t>
  </si>
  <si>
    <t>Nhận 75% KPCĐ Cấp trên của Tháng 12 năm 2024 và Tháng 01 năm 2025</t>
  </si>
  <si>
    <t>Nộp 30% ĐPCĐ Tháng 01 năm 2025</t>
  </si>
  <si>
    <t>Nộp 30% ĐPCĐ Tháng 02 năm 2025</t>
  </si>
  <si>
    <t>PT2025/03</t>
  </si>
  <si>
    <t>Thu phí dịch vụ IB Tháng 03/2025</t>
  </si>
  <si>
    <t>Thu phí dịch vụ IB Tháng 02/2025</t>
  </si>
  <si>
    <t>VAT phí dịch vụ IB Tháng 02/2025</t>
  </si>
  <si>
    <t>VAT phí dịch vụ IB Tháng 03/2025</t>
  </si>
  <si>
    <t>x</t>
  </si>
  <si>
    <t>Thu phí dịch vụ IB Tháng 04/2025</t>
  </si>
  <si>
    <t>VAT phí dịch vụ IB Tháng 04/2025</t>
  </si>
  <si>
    <t>Nhận 75% KPCĐ Cấp trên của Tháng 02 năm 2025</t>
  </si>
  <si>
    <t xml:space="preserve">Chi mừng sinh nhật đoàn viên Phạm Anh Minh </t>
  </si>
  <si>
    <t xml:space="preserve">Chi mừng sinh nhật đoàn viên Nguyễn Quốc Đạt </t>
  </si>
  <si>
    <t xml:space="preserve">Chi mừng sinh nhật đoàn viên Liên San </t>
  </si>
  <si>
    <t xml:space="preserve">Chi mừng sinh nhật đoàn viên Ngô Thị Bích Ngọc </t>
  </si>
  <si>
    <t xml:space="preserve">Chi mừng sinh nhật đoàn viên Trần Minh Thắng </t>
  </si>
  <si>
    <t xml:space="preserve">Chi mừng sinh nhật đoàn viên Nguyễn Bá Quân </t>
  </si>
  <si>
    <t>Thu đoàn phí công đoàn 1% quý 2 năm 2025</t>
  </si>
  <si>
    <t>PT2025/05</t>
  </si>
  <si>
    <t>Chi mừng lễ 30/04/2025 - 01/05/2025 cho đoàn viên (47 người)</t>
  </si>
  <si>
    <t xml:space="preserve">ok </t>
  </si>
  <si>
    <t>Chi mừng sinh nhật đoàn viên Tô Thị Ngọc Yến (07/03)</t>
  </si>
  <si>
    <t>Chi mừng sinh nhật đoàn viên Trần Hải Đăng (01/01)</t>
  </si>
  <si>
    <t>Chi mừng sinh nhật đoàn viên Nguyễn Thanh Phong (29/01)</t>
  </si>
  <si>
    <t>Chi mừng sinh nhật đoàn viên Nguyễn Thị Kỳ Duyên (31/01)</t>
  </si>
  <si>
    <t>Chi mừng sinh nhật đoàn viên Võ Thanh Lam (01/02)</t>
  </si>
  <si>
    <t xml:space="preserve">Chi mừng sinh nhật đoàn viên Nguyễn Trường Vũ </t>
  </si>
  <si>
    <t xml:space="preserve">Chi mừng sinh nhật đoàn viên Lê Chí Thân </t>
  </si>
  <si>
    <t xml:space="preserve">Chi mừng sinh nhật đoàn viên Nguyễn Truyện </t>
  </si>
  <si>
    <t>Chi mừng sinh nhật đoàn viên Ngô Tiến Đạt (25/05)</t>
  </si>
  <si>
    <t>Nộp 30% ĐPCĐ Tháng 03 năm 2025</t>
  </si>
  <si>
    <t>Thu phí dịch vụ IB Tháng 05/2025</t>
  </si>
  <si>
    <t>VAT phí dịch vụ IB Tháng 05/2025</t>
  </si>
  <si>
    <t>Nhận 75% KPCĐ Cấp trên của Tháng 03 năm 2025</t>
  </si>
  <si>
    <t>Nộp 30% ĐPCĐ Tháng 04 năm 2025</t>
  </si>
  <si>
    <t>Chi mừng sinh nhật đoàn viên Dương Hồng Loan (28/05)</t>
  </si>
  <si>
    <t>Chi mừng sinh nhật đoàn viên Trần Văn Hiếu (29/05)</t>
  </si>
  <si>
    <t xml:space="preserve">Chi mừng sinh nhật đoàn viên Nguyễn Văn Hây </t>
  </si>
  <si>
    <t xml:space="preserve">Chi mừng sinh nhật đoàn viên Cao Đình Dương  </t>
  </si>
  <si>
    <t xml:space="preserve">Chi mừng sinh nhật đoàn viên Phạm Tuấn Anh </t>
  </si>
  <si>
    <t xml:space="preserve">Chi mừng sinh nhật đoàn viên Nông Hoàng Phát </t>
  </si>
  <si>
    <t xml:space="preserve">Chi mừng sinh nhật đoàn viên Lê Văn Điền </t>
  </si>
  <si>
    <t>ok</t>
  </si>
  <si>
    <t>Chi mừng sinh nhật đoàn viên Nguyễn Quốc Cảnh (01/06)</t>
  </si>
  <si>
    <t>UNC-01/2025</t>
  </si>
  <si>
    <t>UNC-02/2025</t>
  </si>
  <si>
    <t>BC-01/2025</t>
  </si>
  <si>
    <t>BC-02/2025</t>
  </si>
  <si>
    <t>UNC-03/2025</t>
  </si>
  <si>
    <t>UNC-04/2025</t>
  </si>
  <si>
    <t>BC-03/2025</t>
  </si>
  <si>
    <t>BC-04/2025</t>
  </si>
  <si>
    <t>UNC-05/2025</t>
  </si>
  <si>
    <t>UNC-06/2025</t>
  </si>
  <si>
    <t>UNC-07/2025</t>
  </si>
  <si>
    <t>UNC-08/2025</t>
  </si>
  <si>
    <t>BC-05/2025</t>
  </si>
  <si>
    <t>UNC-09/2025</t>
  </si>
  <si>
    <t>UNC-10/2025</t>
  </si>
  <si>
    <t>BC-06/2025</t>
  </si>
  <si>
    <t>BC-07/2025</t>
  </si>
  <si>
    <t>UNC-11/2025</t>
  </si>
  <si>
    <t>UNC-12/2025</t>
  </si>
  <si>
    <t>UNC-13/2025</t>
  </si>
  <si>
    <t>BC-08/2025</t>
  </si>
  <si>
    <t>BC-09/2025</t>
  </si>
  <si>
    <t>Từ ngày 01/01/2025 đến 31/05/2025</t>
  </si>
  <si>
    <t xml:space="preserve"> - Số lao động Đóng KPCĐ:      47  người</t>
  </si>
  <si>
    <t xml:space="preserve"> - Số đoàn viên:                        47   người                              </t>
  </si>
  <si>
    <t xml:space="preserve">Chi mua văn phòng phẩm </t>
  </si>
  <si>
    <t xml:space="preserve">Chi mừng sinh nhật đoàn viên Nguyễn Kiên Hải </t>
  </si>
  <si>
    <t>Từ ngày 01/06/2025 đến 13/06/2025</t>
  </si>
  <si>
    <t>PT2025/07</t>
  </si>
  <si>
    <t>Thu đoàn phí công đoàn 1% tháng 06 năm 2025 (đoàn viên Lê Thị Thu Thảo)</t>
  </si>
  <si>
    <t>UNC-14/2025</t>
  </si>
  <si>
    <t>Ngày 13 tháng 06 năm 2025</t>
  </si>
  <si>
    <t xml:space="preserve"> - Số lao động Đóng KPCĐ:      48  người</t>
  </si>
  <si>
    <t xml:space="preserve"> - Số đoàn viên:                        48   người                              </t>
  </si>
  <si>
    <t>Ngày 31 tháng 05 năm 2025</t>
  </si>
  <si>
    <t xml:space="preserve">Nhận khen thưởng thu phí công đoàn từ Liên Đoàn Quận </t>
  </si>
  <si>
    <t xml:space="preserve">thu khác </t>
  </si>
  <si>
    <t>UNC-15/2025</t>
  </si>
  <si>
    <t>UNC-16/2025</t>
  </si>
  <si>
    <t>Thu phí dịch vụ IB Tháng 06/2025</t>
  </si>
  <si>
    <t>VAT phí dịch vụ IB Tháng 06/2025</t>
  </si>
  <si>
    <t>BC-10/2025</t>
  </si>
  <si>
    <t>UNC-17/2025</t>
  </si>
  <si>
    <t>UNC-18/2025</t>
  </si>
  <si>
    <t>BC-11/2025</t>
  </si>
  <si>
    <t xml:space="preserve">Chi mừng sinh nhật đoàn viên Nguyễn Bá Thành </t>
  </si>
  <si>
    <t xml:space="preserve">Chi mừng sinh nhật đoàn viên Nguyễn Nguyên Hùng </t>
  </si>
  <si>
    <t>Thu đoàn phí công đoàn 0.5% tháng 07 năm 2025</t>
  </si>
  <si>
    <t xml:space="preserve">Chi mừng sinh nhật đoàn viên Lê Thị Thu Thảo </t>
  </si>
  <si>
    <t>Chi mừng sinh nhật đoàn viên Nguyễn Thị Nhung</t>
  </si>
  <si>
    <t>Thu đoàn phí công đoàn 0.5% tháng 08 năm 2025</t>
  </si>
  <si>
    <t>Thu phí dịch vụ IB Tháng 07/2025</t>
  </si>
  <si>
    <t>VAT phí dịch vụ IB Tháng 07/2025</t>
  </si>
  <si>
    <t>UNC-19/2025</t>
  </si>
  <si>
    <t>Thu phí dịch vụ IB Tháng 08/2025</t>
  </si>
  <si>
    <t>UNC-20/2025</t>
  </si>
  <si>
    <t>VAT phí dịch vụ IB Tháng 08/2025</t>
  </si>
  <si>
    <t>BC-12/2025</t>
  </si>
  <si>
    <t>UNC-21/2025</t>
  </si>
  <si>
    <t>Thu phí dịch vụ IB Tháng 09/2025</t>
  </si>
  <si>
    <t>UNC-22/2025</t>
  </si>
  <si>
    <t>VAT phí dịch vụ IB Tháng 09/2025</t>
  </si>
  <si>
    <t>Chi mừng sinh nhật đoàn viên Võ Thị Mộng Thúy</t>
  </si>
  <si>
    <t>Chi mừng sinh nhật đoàn viên Nguyễn Đức Đạt (14/09)</t>
  </si>
  <si>
    <t>Chi mừng sinh nhật đoàn viên Nguyễn Thị Cẩm Ly (20/09)</t>
  </si>
  <si>
    <t>Chi mừng lễ 02/09/2025 cho đoàn viên (49 người)</t>
  </si>
  <si>
    <t>BC-13/2025</t>
  </si>
  <si>
    <t>Nhận 75% KPCĐ Cấp trên của Tháng 04+05 năm 2025</t>
  </si>
  <si>
    <t>UNC-23/2025</t>
  </si>
  <si>
    <t>Nộp 30% ĐPCĐ Tháng 05 năm 2025</t>
  </si>
  <si>
    <t>UNC-25/2025</t>
  </si>
  <si>
    <t>Nộp 30% ĐPCĐ Tháng 06 năm 2025</t>
  </si>
  <si>
    <t>PT2025/11</t>
  </si>
  <si>
    <t>Chi tiền làm con dấu CĐCS (theo công văn 1650 thay đổi sau sát nhập hành chính)</t>
  </si>
  <si>
    <t>Thu đoàn phí công đoàn 0.5% tháng 09 năm 2025</t>
  </si>
  <si>
    <t>Chi tiền tiệc trà mừng lễ 20/11</t>
  </si>
  <si>
    <t>Chi mừng sinh nhật đoàn viên Võ Huy Phong (03/09)</t>
  </si>
  <si>
    <t>Chi mừng sinh nhật đoàn viên Hồ Gia Thanh (12/09)</t>
  </si>
  <si>
    <t>Chi mừng sinh nhật đoàn viên Ngô Thị Tuyết (15/10)</t>
  </si>
  <si>
    <t>Chi mừng sinh nhật đoàn viên Trần Thuận Châu (22/11)</t>
  </si>
  <si>
    <t>Chi mừng sinh nhật đoàn viên Nguyễn Thị Mai Thi (25/11)</t>
  </si>
  <si>
    <t>Chi mừng sinh nhật đoàn viên Thái Trung Dũng (02/12)</t>
  </si>
  <si>
    <t>Chi mừng sinh nhật đoàn viên Lê Hoàng Sỹ (07/12)</t>
  </si>
  <si>
    <t>Chi mừng sinh nhật đoàn viên Sử Ngọc Quế (25/12)</t>
  </si>
  <si>
    <t>BC-14/2025</t>
  </si>
  <si>
    <t>UNC-26/2025</t>
  </si>
  <si>
    <t>Thu phí dịch vụ IB Tháng 10/2025</t>
  </si>
  <si>
    <t>UNC-27/2025</t>
  </si>
  <si>
    <t>VAT phí dịch vụ IB Tháng 10/2025</t>
  </si>
  <si>
    <t>BC-15/2025</t>
  </si>
  <si>
    <t>UNC-28/2025</t>
  </si>
  <si>
    <t>UNC-29/2025</t>
  </si>
  <si>
    <t>BC-16/2025</t>
  </si>
  <si>
    <t>Thu đoàn phí công đoàn 0.5% tháng 10 năm 2025</t>
  </si>
  <si>
    <t>Thu đoàn phí công đoàn 0.5% tháng 11 năm 2025</t>
  </si>
  <si>
    <t>Chi mừng sinh nhật đoàn viên Lê Thị Nhã Mi (29/10)</t>
  </si>
  <si>
    <t>Thu đoàn phí công đoàn 0.5% tháng 12 năm 2025</t>
  </si>
  <si>
    <t>Phường Phú Thạnh, ngày 31 tháng 12 năm 2025</t>
  </si>
  <si>
    <t>LIÊN ĐOÀN LAO ĐỘNG TP HỒ CHÍ MINH</t>
  </si>
  <si>
    <t>Hôm nay, ngày 31 tháng 12 năm 2025, vào hồi 13 giờ 30 phút.</t>
  </si>
  <si>
    <t xml:space="preserve"> + Thiếu: 10đ</t>
  </si>
  <si>
    <t>Võ Thị Mộng Thúy</t>
  </si>
  <si>
    <t>Ông/Bà:  Võ Thị Mộng Thúy</t>
  </si>
  <si>
    <t xml:space="preserve">Thủ quỹ </t>
  </si>
  <si>
    <t>Liên Đoàn Lao Động TP Hồ Chí Minh</t>
  </si>
  <si>
    <t>TM</t>
  </si>
  <si>
    <t>NH</t>
  </si>
  <si>
    <t>Địa chỉ: 153G Lũy Bán Bích, Phường Phú Thạnh, TP. HCM</t>
  </si>
  <si>
    <t>Từ ngày 14/06/2025 đến 31/12/2025</t>
  </si>
  <si>
    <t xml:space="preserve"> - Số lao động Đóng KPCĐ:      42  người</t>
  </si>
  <si>
    <t>Ngày 31 tháng 12 năm 2025</t>
  </si>
  <si>
    <t xml:space="preserve"> - Số đoàn viên:                        42   người                              </t>
  </si>
  <si>
    <t>Thu đoàn phí công đoàn 0.5% quý 1 năm 2026</t>
  </si>
  <si>
    <t>Thu phí dịch vụ IB Tháng 11/2025</t>
  </si>
  <si>
    <t>VAT phí dịch vụ IB Tháng 11/2025</t>
  </si>
  <si>
    <t>Thu phí dịch vụ IB Tháng 12/2025</t>
  </si>
  <si>
    <t>VAT phí dịch vụ IB Tháng 12/2025</t>
  </si>
  <si>
    <t>UNC-30/2025</t>
  </si>
  <si>
    <t>UNC-31/2025</t>
  </si>
  <si>
    <t>BC-17/2025</t>
  </si>
  <si>
    <t>Từ ngày 01/01/2025 đến ngày 31/12/2025</t>
  </si>
  <si>
    <t>UNC-01/2026</t>
  </si>
  <si>
    <t>UNC-02/2026</t>
  </si>
  <si>
    <t>BC-01/2026</t>
  </si>
  <si>
    <t>BC-02/2026</t>
  </si>
  <si>
    <t>Thu phí dịch vụ IB Tháng 01/2026</t>
  </si>
  <si>
    <t>VAT phí dịch vụ IB Tháng 01/2026</t>
  </si>
  <si>
    <t>Nhận 75% KPCĐ Cấp trên của Tháng 6-7 năm 2025</t>
  </si>
  <si>
    <t>- Ngày mở sổ: 01/01/2026</t>
  </si>
  <si>
    <t>UNC-03/2026</t>
  </si>
  <si>
    <t>Nộp 30% ĐPCĐ Quý 03+04 năm 2025</t>
  </si>
  <si>
    <t>PT2026/02</t>
  </si>
  <si>
    <t>Phường Phú Thạnh, ngày 31 tháng 12 năm 2026</t>
  </si>
  <si>
    <t xml:space="preserve">Chi mừng sinh nhật đoàn viên Bùi Xuân Mai Thảo </t>
  </si>
  <si>
    <t>Chi mừng sinh nhật đoàn viên Huỳnh Thế Sơn (20/02)</t>
  </si>
  <si>
    <t>Chi mừng tết âm lịch cho đoàn viên (41 người - 200k/người)</t>
  </si>
  <si>
    <t>NĂM 2026</t>
  </si>
  <si>
    <t xml:space="preserve">Chi nộp tiền mặt vào tài khoản công đoàn </t>
  </si>
  <si>
    <t>- Kết luận sau khi kiểm quỹ: số tiền mặt kiểm tra thừa (thiếu) 10đ so với sổ sách do 
làm tròn số lẻ trong quá trình thu, chi.</t>
  </si>
  <si>
    <t>Thu phí dịch vụ IB Tháng 02/2026</t>
  </si>
  <si>
    <t>VAT phí dịch vụ IB Tháng 02/2026</t>
  </si>
  <si>
    <t>UNC-04/2026</t>
  </si>
  <si>
    <t>UNC-05/2026</t>
  </si>
  <si>
    <t>BC-03/2026</t>
  </si>
  <si>
    <t>BC-04/2026</t>
  </si>
  <si>
    <t xml:space="preserve">Nộp tiền mặt vào tài khoản </t>
  </si>
  <si>
    <t>UNC-06/2026</t>
  </si>
  <si>
    <t>UNC-07/2026</t>
  </si>
  <si>
    <t>Thu phí dịch vụ IB Tháng 03/2026</t>
  </si>
  <si>
    <t>VAT phí dịch vụ IB Tháng 03/2026</t>
  </si>
  <si>
    <t>BC-05/2026</t>
  </si>
  <si>
    <t>UNC-08/2026</t>
  </si>
  <si>
    <t>UNC-09/2026</t>
  </si>
  <si>
    <t>Thu phí dịch vụ IB Tháng 04/2026</t>
  </si>
  <si>
    <t>VAT phí dịch vụ IB Tháng 04/2026</t>
  </si>
  <si>
    <t>BC-06/2026</t>
  </si>
  <si>
    <t>UNC-10/2026</t>
  </si>
  <si>
    <t>UNC-11/2026</t>
  </si>
  <si>
    <t>Thu phí dịch vụ IB Tháng 05/2026</t>
  </si>
  <si>
    <t>VAT phí dịch vụ IB Tháng 05/2026</t>
  </si>
  <si>
    <t>BC-07/2026</t>
  </si>
  <si>
    <t>Nhận 75% KPCĐ Cấp trên của Tháng 8 đến tháng 12 năm 2025</t>
  </si>
  <si>
    <t>BC-08/2026</t>
  </si>
  <si>
    <t>Thu bổ sung đoàn phí công đoàn 0.5% tháng 02+03 năm 2026 (đoàn viên Nguyễn Trường Vũ)</t>
  </si>
  <si>
    <t>Chi mừng sinh nhật đoàn viên Nguyễn Luân Anh Vũ (05/03)</t>
  </si>
  <si>
    <t>Thu đoàn phí công đoàn 0.5% quý 2 năm 2026</t>
  </si>
  <si>
    <t>Chi mừng sinh nhật đoàn viên Trần Thị Ngọc Dung (19/03)</t>
  </si>
  <si>
    <t>Chi mừng sinh nhật đoàn viên Lâm Nhật Quang (20/03)</t>
  </si>
  <si>
    <t>Chi mừng sinh nhật đoàn viên Nguyễn Quốc Đạt (03/04)</t>
  </si>
  <si>
    <t>Chi mừng sinh nhật đoàn viên Liên San (09/04)</t>
  </si>
  <si>
    <t>Chi mừng sinh nhật đoàn viên Ngô Thị Bích Ngọc (16/04)</t>
  </si>
  <si>
    <t>Chi mừng sinh nhật đoàn viên Trần Minh Thắng (16/04)</t>
  </si>
  <si>
    <t>Chi mừng sinh nhật đoàn viên Nguyễn Bá Quân (17/04)</t>
  </si>
  <si>
    <t>Chi mừng lễ 30/04/2026 - 01/05/2026 cho đoàn viên (41 người)</t>
  </si>
  <si>
    <t>Chi mừng sinh nhật đoàn viên Nguyễn Kiên Hải (02/05)</t>
  </si>
  <si>
    <t>Chi mừng sinh nhật đoàn viên Nguyễn Trường Vũ (02/05)</t>
  </si>
  <si>
    <t>Chi mừng sinh nhật đoàn viên Lê Chí Thân (07/05)</t>
  </si>
  <si>
    <t>Chi mừng sinh nhật đoàn viên Lê Thị Hiếu Thư (16/05)</t>
  </si>
  <si>
    <t>Chi mừng sinh nhật đoàn viên Nguyễn Văn Hây (06/06)</t>
  </si>
  <si>
    <t>Chi mừng sinh nhật đoàn viên Cao Đình Dương (08/06)</t>
  </si>
  <si>
    <t>Chi mừng sinh nhật đoàn viên Phạm Tuấn Anh (16/06)</t>
  </si>
  <si>
    <t>Chi mừng sinh nhật đoàn viên Nông Hoàng Phát (24/06)</t>
  </si>
  <si>
    <t>Chi mừng sinh nhật đoàn viên Lê Văn Điền (29/06)</t>
  </si>
  <si>
    <t>Ngày  tháng  năm 2026</t>
  </si>
  <si>
    <t>15/6/2026</t>
  </si>
  <si>
    <t>PT2026/05</t>
  </si>
  <si>
    <t>Nộp 30% ĐPCĐ quý 01+02 năm 2026</t>
  </si>
  <si>
    <t>UNC-12/2026</t>
  </si>
  <si>
    <t>16/6/2026</t>
  </si>
  <si>
    <t>24/06/2026</t>
  </si>
  <si>
    <t>29/06/2026</t>
  </si>
  <si>
    <t>UNC-13/2026</t>
  </si>
  <si>
    <t>UNC-14/2026</t>
  </si>
  <si>
    <t>Thu phí dịch vụ IB Tháng 06/2026</t>
  </si>
  <si>
    <t>VAT phí dịch vụ IB Tháng 06/2026</t>
  </si>
  <si>
    <t>BC-09/2026</t>
  </si>
  <si>
    <t>Từ ngày 01/01/2026 đến ngày 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</si>
</sst>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-* #,##0_-;\-* #,##0_-;_-* &quot;-&quot;??_-;_-@_-"/>
    <numFmt numFmtId="168" formatCode="&quot;$&quot;#,##0\ ;\(&quot;$&quot;#,##0\)"/>
    <numFmt numFmtId="169" formatCode="&quot;¥&quot;#,##0;[Red]&quot;¥&quot;&quot;¥&quot;\-#,##0"/>
    <numFmt numFmtId="170" formatCode="&quot;¥&quot;#,##0.00;[Red]&quot;¥&quot;&quot;¥&quot;&quot;¥&quot;&quot;¥&quot;&quot;¥&quot;&quot;¥&quot;\-#,##0.00"/>
    <numFmt numFmtId="171" formatCode="&quot;¥&quot;#,##0.00;[Red]&quot;¥&quot;\-#,##0.00"/>
    <numFmt numFmtId="172" formatCode="&quot;¥&quot;#,##0;[Red]&quot;¥&quot;\-#,##0"/>
    <numFmt numFmtId="173" formatCode="[$-1010000]d/m/yyyy;@"/>
  </numFmts>
  <fonts count="42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Times New Roman"/>
      <family val="1"/>
    </font>
    <font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i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3"/>
      <name val="Arial"/>
      <family val="2"/>
    </font>
    <font>
      <sz val="11"/>
      <name val="Calibri Light"/>
      <family val="1"/>
      <scheme val="major"/>
    </font>
    <font>
      <b/>
      <sz val="11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FF0000"/>
      <name val="Times New Roman"/>
      <family val="2"/>
    </font>
    <font>
      <sz val="11"/>
      <name val="Times New Roman"/>
      <family val="2"/>
    </font>
    <font>
      <sz val="12"/>
      <name val="Times New Roman"/>
      <family val="2"/>
    </font>
    <font>
      <sz val="12"/>
      <color theme="1"/>
      <name val="Times New Roman"/>
      <family val="2"/>
    </font>
    <font>
      <b/>
      <sz val="13"/>
      <color rgb="FF000000"/>
      <name val="Times New Roman"/>
      <family val="1"/>
    </font>
    <font>
      <sz val="13"/>
      <color rgb="FFFF0000"/>
      <name val="Times New Roman"/>
      <family val="1"/>
    </font>
    <font>
      <b/>
      <sz val="14"/>
      <color rgb="FF000000"/>
      <name val="Times New Roman"/>
      <family val="1"/>
    </font>
    <font>
      <sz val="13"/>
      <color rgb="FF000000"/>
      <name val="Times New Roman"/>
      <family val="1"/>
    </font>
    <font>
      <i/>
      <sz val="13"/>
      <color rgb="FF000000"/>
      <name val="Times New Roman"/>
      <family val="1"/>
    </font>
    <font>
      <b/>
      <sz val="13"/>
      <color rgb="FFFF0000"/>
      <name val="Times New Roman"/>
      <family val="1"/>
    </font>
    <font>
      <sz val="14"/>
      <name val="뼻뮝"/>
      <family val="2"/>
    </font>
    <font>
      <sz val="12"/>
      <name val="뼻뮝"/>
      <family val="2"/>
    </font>
    <font>
      <sz val="12"/>
      <name val="바탕체"/>
      <family val="2"/>
    </font>
    <font>
      <sz val="10"/>
      <name val="굴림체"/>
      <family val="2"/>
    </font>
    <font>
      <b/>
      <sz val="13"/>
      <name val="Times New Roman"/>
      <family val="1"/>
    </font>
    <font>
      <i/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color rgb="FFFF0000"/>
      <name val="Times New Roman"/>
      <family val="1"/>
    </font>
    <font>
      <sz val="8"/>
      <name val="Times New Roman"/>
      <family val="2"/>
    </font>
    <font>
      <b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2">
    <xf numFmtId="0" fontId="0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9" fillId="0" borderId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" fontId="19" fillId="0" borderId="0" applyFont="0" applyFill="0" applyBorder="0" applyAlignment="0" applyProtection="0"/>
    <xf numFmtId="40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0" fontId="19" fillId="0" borderId="0" applyFont="0" applyFill="0" applyBorder="0" applyAlignment="0" applyProtection="0"/>
    <xf numFmtId="0" fontId="33" fillId="0" borderId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1" fontId="34" fillId="0" borderId="0" applyFont="0" applyFill="0" applyBorder="0" applyAlignment="0" applyProtection="0"/>
    <xf numFmtId="172" fontId="34" fillId="0" borderId="0" applyFont="0" applyFill="0" applyBorder="0" applyAlignment="0" applyProtection="0"/>
    <xf numFmtId="0" fontId="35" fillId="0" borderId="0"/>
    <xf numFmtId="164" fontId="3" fillId="0" borderId="0" applyFont="0" applyFill="0" applyBorder="0" applyAlignment="0" applyProtection="0"/>
  </cellStyleXfs>
  <cellXfs count="24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1" xfId="0" applyFont="1" applyBorder="1"/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wrapText="1"/>
    </xf>
    <xf numFmtId="3" fontId="7" fillId="0" borderId="1" xfId="0" applyNumberFormat="1" applyFont="1" applyBorder="1"/>
    <xf numFmtId="3" fontId="6" fillId="0" borderId="1" xfId="0" applyNumberFormat="1" applyFont="1" applyBorder="1"/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166" fontId="1" fillId="0" borderId="1" xfId="1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6" fontId="4" fillId="0" borderId="1" xfId="1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10" fillId="0" borderId="0" xfId="0" applyFont="1" applyAlignment="1">
      <alignment vertical="center"/>
    </xf>
    <xf numFmtId="164" fontId="0" fillId="0" borderId="0" xfId="2" applyFont="1" applyAlignment="1">
      <alignment horizontal="center"/>
    </xf>
    <xf numFmtId="164" fontId="0" fillId="0" borderId="0" xfId="2" applyFont="1"/>
    <xf numFmtId="164" fontId="0" fillId="0" borderId="0" xfId="2" applyFont="1" applyAlignment="1">
      <alignment horizontal="right"/>
    </xf>
    <xf numFmtId="164" fontId="1" fillId="0" borderId="1" xfId="2" applyFont="1" applyBorder="1" applyAlignment="1">
      <alignment horizontal="center" vertical="center" wrapText="1"/>
    </xf>
    <xf numFmtId="164" fontId="0" fillId="0" borderId="1" xfId="2" applyFont="1" applyBorder="1"/>
    <xf numFmtId="164" fontId="4" fillId="0" borderId="1" xfId="2" applyFont="1" applyBorder="1"/>
    <xf numFmtId="164" fontId="1" fillId="0" borderId="1" xfId="2" applyFont="1" applyBorder="1"/>
    <xf numFmtId="167" fontId="11" fillId="0" borderId="1" xfId="1" applyNumberFormat="1" applyFont="1" applyBorder="1" applyAlignment="1">
      <alignment horizontal="right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0" borderId="0" xfId="0" applyFont="1"/>
    <xf numFmtId="0" fontId="13" fillId="0" borderId="0" xfId="0" applyFont="1" applyAlignment="1">
      <alignment vertical="center"/>
    </xf>
    <xf numFmtId="167" fontId="11" fillId="0" borderId="1" xfId="1" applyNumberFormat="1" applyFont="1" applyBorder="1" applyAlignment="1">
      <alignment horizontal="center" vertical="center" wrapText="1"/>
    </xf>
    <xf numFmtId="164" fontId="14" fillId="0" borderId="1" xfId="2" applyFont="1" applyBorder="1"/>
    <xf numFmtId="0" fontId="5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vertical="center"/>
    </xf>
    <xf numFmtId="0" fontId="16" fillId="0" borderId="1" xfId="0" applyFont="1" applyBorder="1"/>
    <xf numFmtId="0" fontId="11" fillId="0" borderId="0" xfId="0" applyFont="1"/>
    <xf numFmtId="0" fontId="8" fillId="0" borderId="1" xfId="0" applyFont="1" applyBorder="1" applyAlignment="1">
      <alignment horizontal="left" vertical="center"/>
    </xf>
    <xf numFmtId="3" fontId="0" fillId="0" borderId="0" xfId="0" applyNumberFormat="1"/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7" fillId="0" borderId="1" xfId="0" applyNumberFormat="1" applyFont="1" applyBorder="1" applyAlignment="1">
      <alignment vertical="center"/>
    </xf>
    <xf numFmtId="0" fontId="20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66" fontId="1" fillId="0" borderId="0" xfId="1" applyNumberFormat="1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14" fontId="24" fillId="0" borderId="1" xfId="0" applyNumberFormat="1" applyFont="1" applyBorder="1" applyAlignment="1">
      <alignment vertical="center"/>
    </xf>
    <xf numFmtId="166" fontId="23" fillId="0" borderId="1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1" xfId="0" applyFont="1" applyBorder="1" applyAlignment="1">
      <alignment vertical="center" wrapText="1"/>
    </xf>
    <xf numFmtId="14" fontId="24" fillId="0" borderId="1" xfId="0" applyNumberFormat="1" applyFont="1" applyBorder="1" applyAlignment="1">
      <alignment vertical="center" wrapText="1"/>
    </xf>
    <xf numFmtId="166" fontId="23" fillId="0" borderId="1" xfId="1" applyNumberFormat="1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14" fontId="25" fillId="0" borderId="1" xfId="0" applyNumberFormat="1" applyFont="1" applyBorder="1" applyAlignment="1">
      <alignment vertical="center"/>
    </xf>
    <xf numFmtId="0" fontId="23" fillId="0" borderId="4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0" fillId="0" borderId="0" xfId="0" applyAlignment="1">
      <alignment horizontal="right"/>
    </xf>
    <xf numFmtId="166" fontId="0" fillId="0" borderId="0" xfId="0" applyNumberFormat="1"/>
    <xf numFmtId="166" fontId="0" fillId="0" borderId="0" xfId="0" applyNumberFormat="1" applyAlignment="1">
      <alignment vertical="center"/>
    </xf>
    <xf numFmtId="0" fontId="7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26" fillId="0" borderId="0" xfId="3" applyFont="1" applyAlignment="1">
      <alignment vertical="center" wrapText="1"/>
    </xf>
    <xf numFmtId="0" fontId="26" fillId="0" borderId="0" xfId="3" applyFont="1" applyAlignment="1">
      <alignment horizontal="right" vertical="center" wrapText="1"/>
    </xf>
    <xf numFmtId="0" fontId="19" fillId="0" borderId="0" xfId="3"/>
    <xf numFmtId="0" fontId="27" fillId="0" borderId="0" xfId="3" applyFont="1"/>
    <xf numFmtId="0" fontId="29" fillId="0" borderId="0" xfId="3" applyFont="1" applyAlignment="1">
      <alignment vertical="center"/>
    </xf>
    <xf numFmtId="0" fontId="28" fillId="0" borderId="0" xfId="3" applyFont="1" applyAlignment="1">
      <alignment horizontal="center" vertical="center"/>
    </xf>
    <xf numFmtId="0" fontId="30" fillId="0" borderId="0" xfId="3" applyFont="1" applyAlignment="1">
      <alignment vertical="center"/>
    </xf>
    <xf numFmtId="0" fontId="26" fillId="0" borderId="0" xfId="3" applyFont="1" applyAlignment="1">
      <alignment vertical="center"/>
    </xf>
    <xf numFmtId="0" fontId="26" fillId="0" borderId="1" xfId="3" applyFont="1" applyBorder="1" applyAlignment="1">
      <alignment horizontal="center" vertical="center" wrapText="1"/>
    </xf>
    <xf numFmtId="0" fontId="27" fillId="2" borderId="0" xfId="3" applyFont="1" applyFill="1"/>
    <xf numFmtId="0" fontId="26" fillId="0" borderId="1" xfId="3" applyFont="1" applyBorder="1" applyAlignment="1">
      <alignment vertical="center" wrapText="1"/>
    </xf>
    <xf numFmtId="0" fontId="29" fillId="0" borderId="1" xfId="3" applyFont="1" applyBorder="1" applyAlignment="1">
      <alignment horizontal="center" vertical="center" wrapText="1"/>
    </xf>
    <xf numFmtId="0" fontId="29" fillId="0" borderId="1" xfId="3" applyFont="1" applyBorder="1" applyAlignment="1">
      <alignment vertical="center" wrapText="1"/>
    </xf>
    <xf numFmtId="0" fontId="26" fillId="0" borderId="0" xfId="3" applyFont="1" applyAlignment="1">
      <alignment horizontal="center" vertical="center" wrapText="1"/>
    </xf>
    <xf numFmtId="0" fontId="30" fillId="0" borderId="0" xfId="3" applyFont="1" applyAlignment="1">
      <alignment horizontal="center" vertical="center" wrapText="1"/>
    </xf>
    <xf numFmtId="0" fontId="15" fillId="0" borderId="0" xfId="3" applyFont="1" applyAlignment="1">
      <alignment vertical="center"/>
    </xf>
    <xf numFmtId="0" fontId="31" fillId="0" borderId="0" xfId="3" applyFont="1" applyAlignment="1">
      <alignment horizontal="center"/>
    </xf>
    <xf numFmtId="167" fontId="11" fillId="0" borderId="1" xfId="4" applyNumberFormat="1" applyFont="1" applyBorder="1" applyAlignment="1">
      <alignment horizontal="center" vertical="center" wrapText="1"/>
    </xf>
    <xf numFmtId="167" fontId="11" fillId="0" borderId="1" xfId="4" applyNumberFormat="1" applyFont="1" applyBorder="1" applyAlignment="1">
      <alignment horizontal="right" vertical="center" wrapText="1"/>
    </xf>
    <xf numFmtId="0" fontId="12" fillId="0" borderId="1" xfId="0" applyFont="1" applyBorder="1"/>
    <xf numFmtId="167" fontId="11" fillId="0" borderId="1" xfId="4" applyNumberFormat="1" applyFont="1" applyFill="1" applyBorder="1" applyAlignment="1">
      <alignment horizontal="righ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167" fontId="11" fillId="3" borderId="1" xfId="4" applyNumberFormat="1" applyFont="1" applyFill="1" applyBorder="1" applyAlignment="1">
      <alignment horizontal="right" vertical="center" wrapText="1"/>
    </xf>
    <xf numFmtId="14" fontId="11" fillId="3" borderId="1" xfId="0" applyNumberFormat="1" applyFont="1" applyFill="1" applyBorder="1" applyAlignment="1">
      <alignment horizontal="center" vertical="center" wrapText="1"/>
    </xf>
    <xf numFmtId="0" fontId="36" fillId="0" borderId="0" xfId="0" applyFont="1"/>
    <xf numFmtId="0" fontId="14" fillId="0" borderId="0" xfId="0" applyFont="1" applyAlignment="1">
      <alignment horizontal="right"/>
    </xf>
    <xf numFmtId="3" fontId="29" fillId="0" borderId="1" xfId="3" applyNumberFormat="1" applyFont="1" applyBorder="1" applyAlignment="1">
      <alignment horizontal="center" vertical="center" wrapText="1"/>
    </xf>
    <xf numFmtId="3" fontId="27" fillId="0" borderId="0" xfId="3" applyNumberFormat="1" applyFont="1"/>
    <xf numFmtId="0" fontId="29" fillId="0" borderId="0" xfId="3" quotePrefix="1" applyFont="1" applyAlignment="1">
      <alignment vertical="center"/>
    </xf>
    <xf numFmtId="0" fontId="29" fillId="0" borderId="0" xfId="3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1" xfId="1" applyNumberFormat="1" applyFont="1" applyBorder="1" applyAlignment="1">
      <alignment vertical="center"/>
    </xf>
    <xf numFmtId="0" fontId="37" fillId="0" borderId="0" xfId="0" applyFont="1" applyAlignment="1">
      <alignment horizontal="center" vertical="center"/>
    </xf>
    <xf numFmtId="0" fontId="21" fillId="0" borderId="0" xfId="0" quotePrefix="1" applyFont="1" applyAlignment="1">
      <alignment vertical="center"/>
    </xf>
    <xf numFmtId="164" fontId="0" fillId="0" borderId="0" xfId="0" applyNumberFormat="1"/>
    <xf numFmtId="166" fontId="1" fillId="0" borderId="1" xfId="2" applyNumberFormat="1" applyFont="1" applyBorder="1"/>
    <xf numFmtId="166" fontId="22" fillId="2" borderId="0" xfId="1" applyNumberFormat="1" applyFont="1" applyFill="1"/>
    <xf numFmtId="166" fontId="4" fillId="0" borderId="1" xfId="1" applyNumberFormat="1" applyFont="1" applyFill="1" applyBorder="1" applyAlignment="1">
      <alignment vertical="center"/>
    </xf>
    <xf numFmtId="166" fontId="23" fillId="0" borderId="1" xfId="1" applyNumberFormat="1" applyFont="1" applyFill="1" applyBorder="1" applyAlignment="1">
      <alignment vertical="center"/>
    </xf>
    <xf numFmtId="14" fontId="4" fillId="0" borderId="0" xfId="0" applyNumberFormat="1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14" fontId="1" fillId="0" borderId="0" xfId="0" applyNumberFormat="1" applyFont="1" applyAlignment="1">
      <alignment horizontal="right" vertical="center"/>
    </xf>
    <xf numFmtId="14" fontId="0" fillId="0" borderId="0" xfId="0" applyNumberFormat="1" applyAlignment="1">
      <alignment vertical="center"/>
    </xf>
    <xf numFmtId="14" fontId="0" fillId="0" borderId="1" xfId="0" applyNumberFormat="1" applyBorder="1"/>
    <xf numFmtId="167" fontId="11" fillId="2" borderId="1" xfId="4" applyNumberFormat="1" applyFont="1" applyFill="1" applyBorder="1" applyAlignment="1">
      <alignment horizontal="right" vertical="center" wrapText="1"/>
    </xf>
    <xf numFmtId="166" fontId="0" fillId="0" borderId="0" xfId="1" applyNumberFormat="1" applyFont="1"/>
    <xf numFmtId="166" fontId="4" fillId="0" borderId="0" xfId="1" applyNumberFormat="1" applyFont="1"/>
    <xf numFmtId="166" fontId="0" fillId="0" borderId="0" xfId="1" applyNumberFormat="1" applyFont="1" applyAlignment="1">
      <alignment vertical="center"/>
    </xf>
    <xf numFmtId="167" fontId="0" fillId="0" borderId="0" xfId="0" applyNumberFormat="1"/>
    <xf numFmtId="0" fontId="22" fillId="2" borderId="0" xfId="0" applyFont="1" applyFill="1" applyAlignment="1">
      <alignment vertic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>
      <alignment vertical="center"/>
    </xf>
    <xf numFmtId="14" fontId="8" fillId="0" borderId="1" xfId="0" applyNumberFormat="1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3" fontId="11" fillId="2" borderId="1" xfId="4" applyNumberFormat="1" applyFont="1" applyFill="1" applyBorder="1" applyAlignment="1">
      <alignment horizontal="right" vertical="center" wrapText="1"/>
    </xf>
    <xf numFmtId="167" fontId="6" fillId="0" borderId="1" xfId="0" applyNumberFormat="1" applyFont="1" applyBorder="1" applyAlignment="1">
      <alignment vertical="center"/>
    </xf>
    <xf numFmtId="173" fontId="4" fillId="0" borderId="0" xfId="0" applyNumberFormat="1" applyFont="1" applyAlignment="1">
      <alignment vertical="center"/>
    </xf>
    <xf numFmtId="173" fontId="2" fillId="0" borderId="0" xfId="0" applyNumberFormat="1" applyFont="1" applyAlignment="1">
      <alignment horizontal="center" vertical="center"/>
    </xf>
    <xf numFmtId="173" fontId="1" fillId="0" borderId="1" xfId="0" applyNumberFormat="1" applyFont="1" applyBorder="1" applyAlignment="1">
      <alignment horizontal="center" vertical="center"/>
    </xf>
    <xf numFmtId="173" fontId="7" fillId="0" borderId="1" xfId="0" applyNumberFormat="1" applyFont="1" applyBorder="1" applyAlignment="1">
      <alignment vertical="center"/>
    </xf>
    <xf numFmtId="173" fontId="25" fillId="0" borderId="1" xfId="0" applyNumberFormat="1" applyFont="1" applyBorder="1" applyAlignment="1">
      <alignment vertical="center"/>
    </xf>
    <xf numFmtId="173" fontId="24" fillId="0" borderId="1" xfId="0" applyNumberFormat="1" applyFont="1" applyBorder="1" applyAlignment="1">
      <alignment vertical="center"/>
    </xf>
    <xf numFmtId="173" fontId="4" fillId="0" borderId="1" xfId="0" applyNumberFormat="1" applyFont="1" applyBorder="1" applyAlignment="1">
      <alignment vertical="center"/>
    </xf>
    <xf numFmtId="173" fontId="1" fillId="0" borderId="0" xfId="0" applyNumberFormat="1" applyFont="1" applyAlignment="1">
      <alignment horizontal="right" vertical="center"/>
    </xf>
    <xf numFmtId="173" fontId="0" fillId="0" borderId="0" xfId="0" applyNumberForma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73" fontId="8" fillId="0" borderId="1" xfId="0" applyNumberFormat="1" applyFont="1" applyBorder="1" applyAlignment="1">
      <alignment vertical="center"/>
    </xf>
    <xf numFmtId="167" fontId="11" fillId="0" borderId="1" xfId="1" applyNumberFormat="1" applyFont="1" applyFill="1" applyBorder="1" applyAlignment="1">
      <alignment horizontal="center" vertical="center" wrapText="1"/>
    </xf>
    <xf numFmtId="167" fontId="41" fillId="0" borderId="1" xfId="1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right" wrapText="1"/>
    </xf>
    <xf numFmtId="0" fontId="6" fillId="0" borderId="5" xfId="0" applyFont="1" applyBorder="1" applyAlignment="1">
      <alignment horizontal="right" wrapText="1"/>
    </xf>
    <xf numFmtId="0" fontId="6" fillId="0" borderId="6" xfId="0" applyFont="1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6" fontId="1" fillId="0" borderId="4" xfId="0" applyNumberFormat="1" applyFont="1" applyBorder="1" applyAlignment="1">
      <alignment horizontal="center"/>
    </xf>
    <xf numFmtId="166" fontId="1" fillId="0" borderId="6" xfId="0" applyNumberFormat="1" applyFon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167" fontId="1" fillId="0" borderId="4" xfId="0" applyNumberFormat="1" applyFont="1" applyBorder="1" applyAlignment="1">
      <alignment horizontal="center"/>
    </xf>
    <xf numFmtId="164" fontId="0" fillId="0" borderId="4" xfId="2" applyFont="1" applyBorder="1" applyAlignment="1">
      <alignment horizontal="center"/>
    </xf>
    <xf numFmtId="164" fontId="0" fillId="0" borderId="6" xfId="2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0" fontId="23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6" fillId="0" borderId="0" xfId="0" applyFont="1"/>
    <xf numFmtId="166" fontId="0" fillId="0" borderId="4" xfId="21" applyNumberFormat="1" applyFont="1" applyBorder="1" applyAlignment="1">
      <alignment horizontal="center"/>
    </xf>
    <xf numFmtId="166" fontId="0" fillId="0" borderId="6" xfId="21" applyNumberFormat="1" applyFont="1" applyBorder="1" applyAlignment="1">
      <alignment horizontal="center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29" fillId="0" borderId="0" xfId="3" quotePrefix="1" applyFont="1" applyAlignment="1">
      <alignment horizontal="left" vertical="center" wrapText="1"/>
    </xf>
  </cellXfs>
  <cellStyles count="22">
    <cellStyle name="Comma" xfId="1" builtinId="3"/>
    <cellStyle name="Comma [0]" xfId="2" builtinId="6"/>
    <cellStyle name="Comma 2" xfId="4" xr:uid="{00000000-0005-0000-0000-000002000000}"/>
    <cellStyle name="Comma 3" xfId="5" xr:uid="{00000000-0005-0000-0000-000003000000}"/>
    <cellStyle name="Comma0" xfId="6" xr:uid="{00000000-0005-0000-0000-000004000000}"/>
    <cellStyle name="Currency0" xfId="7" xr:uid="{00000000-0005-0000-0000-000005000000}"/>
    <cellStyle name="Date" xfId="8" xr:uid="{00000000-0005-0000-0000-000006000000}"/>
    <cellStyle name="Dấu phẩy [0] 2" xfId="21" xr:uid="{00000000-0005-0000-0000-000007000000}"/>
    <cellStyle name="Fixed" xfId="9" xr:uid="{00000000-0005-0000-0000-000008000000}"/>
    <cellStyle name="Normal" xfId="0" builtinId="0"/>
    <cellStyle name="Normal 2" xfId="3" xr:uid="{00000000-0005-0000-0000-00000A000000}"/>
    <cellStyle name="똿뗦먛귟 [0.00]_PRODUCT DETAIL Q1" xfId="10" xr:uid="{00000000-0005-0000-0000-00000B000000}"/>
    <cellStyle name="똿뗦먛귟_PRODUCT DETAIL Q1" xfId="11" xr:uid="{00000000-0005-0000-0000-00000C000000}"/>
    <cellStyle name="믅됞 [0.00]_PRODUCT DETAIL Q1" xfId="12" xr:uid="{00000000-0005-0000-0000-00000D000000}"/>
    <cellStyle name="믅됞_PRODUCT DETAIL Q1" xfId="13" xr:uid="{00000000-0005-0000-0000-00000E000000}"/>
    <cellStyle name="백분율_HOBONG" xfId="14" xr:uid="{00000000-0005-0000-0000-00000F000000}"/>
    <cellStyle name="뷭?_BOOKSHIP" xfId="15" xr:uid="{00000000-0005-0000-0000-000010000000}"/>
    <cellStyle name="콤마 [0]_1202" xfId="16" xr:uid="{00000000-0005-0000-0000-000011000000}"/>
    <cellStyle name="콤마_1202" xfId="17" xr:uid="{00000000-0005-0000-0000-000012000000}"/>
    <cellStyle name="통화 [0]_1202" xfId="18" xr:uid="{00000000-0005-0000-0000-000013000000}"/>
    <cellStyle name="통화_1202" xfId="19" xr:uid="{00000000-0005-0000-0000-000014000000}"/>
    <cellStyle name="표준_(정보부문)월별인원계획" xfId="20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G%20DOAN/SO%20SACH%202025/SO%20QUY%20TM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7"/>
      <sheetName val="Kiem Quy 2017"/>
      <sheetName val="2018"/>
      <sheetName val="Kiem Quy 2018"/>
      <sheetName val="2019"/>
      <sheetName val="2020"/>
      <sheetName val="2021"/>
      <sheetName val="2022"/>
      <sheetName val="Kiem Quy 2022"/>
      <sheetName val="Kiem Quy 2023"/>
      <sheetName val="Kiem Quy 2024 6 tháng đầu năm"/>
      <sheetName val="2023 (2)"/>
      <sheetName val="2023"/>
      <sheetName val="2024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3">
          <cell r="G63">
            <v>2309760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4"/>
  <sheetViews>
    <sheetView topLeftCell="A10" workbookViewId="0">
      <selection activeCell="E32" sqref="E32"/>
    </sheetView>
  </sheetViews>
  <sheetFormatPr defaultRowHeight="15"/>
  <cols>
    <col min="1" max="1" width="5.7109375" customWidth="1"/>
    <col min="2" max="2" width="49.7109375" customWidth="1"/>
    <col min="3" max="3" width="10.5703125" customWidth="1"/>
    <col min="4" max="4" width="11.140625" customWidth="1"/>
    <col min="5" max="5" width="20.42578125" style="48" customWidth="1"/>
    <col min="6" max="6" width="9.140625" style="48"/>
  </cols>
  <sheetData>
    <row r="1" spans="1:6">
      <c r="A1" t="s">
        <v>107</v>
      </c>
      <c r="E1" s="47" t="s">
        <v>0</v>
      </c>
    </row>
    <row r="2" spans="1:6">
      <c r="A2" t="s">
        <v>115</v>
      </c>
      <c r="E2" s="47" t="s">
        <v>1</v>
      </c>
    </row>
    <row r="3" spans="1:6">
      <c r="A3" t="s">
        <v>175</v>
      </c>
      <c r="E3" s="47" t="s">
        <v>103</v>
      </c>
    </row>
    <row r="4" spans="1:6" ht="24" customHeight="1">
      <c r="A4" s="174" t="s">
        <v>2</v>
      </c>
      <c r="B4" s="174"/>
      <c r="C4" s="174"/>
      <c r="D4" s="174"/>
      <c r="E4" s="174"/>
      <c r="F4" s="174"/>
    </row>
    <row r="5" spans="1:6" ht="18.75">
      <c r="A5" s="175" t="s">
        <v>113</v>
      </c>
      <c r="B5" s="175"/>
      <c r="C5" s="175"/>
      <c r="D5" s="175"/>
      <c r="E5" s="175"/>
      <c r="F5" s="175"/>
    </row>
    <row r="6" spans="1:6">
      <c r="A6" s="6" t="s">
        <v>3</v>
      </c>
    </row>
    <row r="7" spans="1:6">
      <c r="A7" t="s">
        <v>116</v>
      </c>
      <c r="C7" t="s">
        <v>119</v>
      </c>
    </row>
    <row r="8" spans="1:6">
      <c r="A8" t="s">
        <v>117</v>
      </c>
      <c r="C8" t="s">
        <v>120</v>
      </c>
    </row>
    <row r="9" spans="1:6">
      <c r="A9" t="s">
        <v>118</v>
      </c>
    </row>
    <row r="10" spans="1:6" ht="21" customHeight="1">
      <c r="A10" s="12" t="s">
        <v>5</v>
      </c>
      <c r="B10" s="11"/>
      <c r="C10" t="s">
        <v>6</v>
      </c>
      <c r="D10" t="s">
        <v>4</v>
      </c>
      <c r="F10" s="49" t="s">
        <v>7</v>
      </c>
    </row>
    <row r="11" spans="1:6" ht="44.25" customHeight="1">
      <c r="A11" s="5" t="s">
        <v>8</v>
      </c>
      <c r="B11" s="5" t="s">
        <v>9</v>
      </c>
      <c r="C11" s="5" t="s">
        <v>24</v>
      </c>
      <c r="D11" s="5" t="s">
        <v>10</v>
      </c>
      <c r="E11" s="50" t="s">
        <v>11</v>
      </c>
      <c r="F11" s="50" t="s">
        <v>12</v>
      </c>
    </row>
    <row r="12" spans="1:6" ht="14.45" customHeight="1">
      <c r="A12" s="3" t="s">
        <v>25</v>
      </c>
      <c r="B12" s="7" t="s">
        <v>49</v>
      </c>
      <c r="C12" s="13">
        <v>10</v>
      </c>
      <c r="D12" s="2"/>
      <c r="E12" s="61">
        <v>15620760</v>
      </c>
      <c r="F12" s="51"/>
    </row>
    <row r="13" spans="1:6" ht="14.45" customHeight="1">
      <c r="A13" s="3" t="s">
        <v>26</v>
      </c>
      <c r="B13" s="7" t="s">
        <v>20</v>
      </c>
      <c r="C13" s="13"/>
      <c r="D13" s="2"/>
      <c r="E13" s="51"/>
      <c r="F13" s="51"/>
    </row>
    <row r="14" spans="1:6" ht="14.45" customHeight="1">
      <c r="A14" s="4" t="s">
        <v>27</v>
      </c>
      <c r="B14" s="8" t="s">
        <v>22</v>
      </c>
      <c r="C14" s="14">
        <v>22</v>
      </c>
      <c r="D14" s="2"/>
      <c r="E14" s="54">
        <v>13294800</v>
      </c>
      <c r="F14" s="51"/>
    </row>
    <row r="15" spans="1:6" ht="14.45" customHeight="1">
      <c r="A15" s="4" t="s">
        <v>28</v>
      </c>
      <c r="B15" s="8" t="s">
        <v>21</v>
      </c>
      <c r="C15" s="14">
        <v>23</v>
      </c>
      <c r="D15" s="2"/>
      <c r="E15" s="51"/>
      <c r="F15" s="51"/>
    </row>
    <row r="16" spans="1:6" ht="14.45" customHeight="1">
      <c r="A16" s="4" t="s">
        <v>29</v>
      </c>
      <c r="B16" s="8" t="s">
        <v>23</v>
      </c>
      <c r="C16" s="14">
        <v>24</v>
      </c>
      <c r="D16" s="2"/>
      <c r="E16" s="51"/>
      <c r="F16" s="51"/>
    </row>
    <row r="17" spans="1:6" ht="14.45" customHeight="1">
      <c r="A17" s="3" t="s">
        <v>30</v>
      </c>
      <c r="B17" s="7" t="s">
        <v>50</v>
      </c>
      <c r="C17" s="13">
        <v>25</v>
      </c>
      <c r="D17" s="2"/>
      <c r="E17" s="51"/>
      <c r="F17" s="51"/>
    </row>
    <row r="18" spans="1:6" ht="14.45" customHeight="1">
      <c r="A18" s="4"/>
      <c r="B18" s="8" t="s">
        <v>51</v>
      </c>
      <c r="C18" s="14" t="s">
        <v>60</v>
      </c>
      <c r="D18" s="2"/>
      <c r="E18" s="51"/>
      <c r="F18" s="51"/>
    </row>
    <row r="19" spans="1:6" ht="14.45" customHeight="1">
      <c r="A19" s="4"/>
      <c r="B19" s="8" t="s">
        <v>52</v>
      </c>
      <c r="C19" s="14" t="s">
        <v>61</v>
      </c>
      <c r="D19" s="2"/>
      <c r="E19" s="51">
        <v>50</v>
      </c>
      <c r="F19" s="51"/>
    </row>
    <row r="20" spans="1:6" ht="14.45" customHeight="1">
      <c r="A20" s="4"/>
      <c r="B20" s="7" t="s">
        <v>67</v>
      </c>
      <c r="C20" s="13"/>
      <c r="D20" s="2"/>
      <c r="E20" s="53">
        <f>SUM(E14:E19)</f>
        <v>13294850</v>
      </c>
      <c r="F20" s="51"/>
    </row>
    <row r="21" spans="1:6" ht="14.45" customHeight="1">
      <c r="A21" s="3" t="s">
        <v>31</v>
      </c>
      <c r="B21" s="7" t="s">
        <v>46</v>
      </c>
      <c r="C21" s="13">
        <v>28</v>
      </c>
      <c r="D21" s="2"/>
      <c r="E21" s="51"/>
      <c r="F21" s="51"/>
    </row>
    <row r="22" spans="1:6" ht="14.45" customHeight="1">
      <c r="A22" s="4"/>
      <c r="B22" s="9" t="s">
        <v>13</v>
      </c>
      <c r="C22" s="14" t="s">
        <v>62</v>
      </c>
      <c r="D22" s="2"/>
      <c r="E22" s="51"/>
      <c r="F22" s="51"/>
    </row>
    <row r="23" spans="1:6" ht="14.45" customHeight="1">
      <c r="A23" s="4"/>
      <c r="B23" s="9" t="s">
        <v>53</v>
      </c>
      <c r="C23" s="14" t="s">
        <v>63</v>
      </c>
      <c r="D23" s="2"/>
      <c r="E23" s="51"/>
      <c r="F23" s="51"/>
    </row>
    <row r="24" spans="1:6" ht="14.45" customHeight="1">
      <c r="A24" s="4" t="s">
        <v>32</v>
      </c>
      <c r="B24" s="8" t="s">
        <v>54</v>
      </c>
      <c r="C24" s="14">
        <v>40</v>
      </c>
      <c r="D24" s="2"/>
      <c r="E24" s="51"/>
      <c r="F24" s="51"/>
    </row>
    <row r="25" spans="1:6" ht="14.45" customHeight="1">
      <c r="A25" s="4" t="s">
        <v>108</v>
      </c>
      <c r="B25" s="2" t="s">
        <v>109</v>
      </c>
      <c r="C25" s="14">
        <v>47</v>
      </c>
      <c r="E25" s="51"/>
      <c r="F25" s="51"/>
    </row>
    <row r="26" spans="1:6" ht="14.45" customHeight="1">
      <c r="A26" s="3"/>
      <c r="B26" s="7" t="s">
        <v>55</v>
      </c>
      <c r="C26" s="13"/>
      <c r="D26" s="2"/>
      <c r="E26" s="53">
        <f>SUM(E20:E25)</f>
        <v>13294850</v>
      </c>
      <c r="F26" s="51"/>
    </row>
    <row r="27" spans="1:6" ht="14.45" customHeight="1">
      <c r="A27" s="3" t="s">
        <v>33</v>
      </c>
      <c r="B27" s="7" t="s">
        <v>56</v>
      </c>
      <c r="C27" s="13"/>
      <c r="D27" s="2"/>
      <c r="E27" s="51"/>
      <c r="F27" s="51"/>
    </row>
    <row r="28" spans="1:6" ht="14.45" customHeight="1">
      <c r="A28" s="4" t="s">
        <v>34</v>
      </c>
      <c r="B28" s="9" t="s">
        <v>57</v>
      </c>
      <c r="C28" s="14">
        <v>31</v>
      </c>
      <c r="D28" s="2"/>
      <c r="E28" s="51">
        <v>13700000</v>
      </c>
      <c r="F28" s="51"/>
    </row>
    <row r="29" spans="1:6" ht="14.45" customHeight="1">
      <c r="A29" s="4" t="s">
        <v>35</v>
      </c>
      <c r="B29" s="9" t="s">
        <v>14</v>
      </c>
      <c r="C29" s="14">
        <v>32</v>
      </c>
      <c r="D29" s="2"/>
      <c r="E29" s="51"/>
      <c r="F29" s="51"/>
    </row>
    <row r="30" spans="1:6" ht="14.45" customHeight="1">
      <c r="A30" s="4" t="s">
        <v>36</v>
      </c>
      <c r="B30" s="8" t="s">
        <v>58</v>
      </c>
      <c r="C30" s="14">
        <v>33</v>
      </c>
      <c r="D30" s="2"/>
      <c r="E30" s="51">
        <v>1585000</v>
      </c>
      <c r="F30" s="51"/>
    </row>
    <row r="31" spans="1:6" s="45" customFormat="1" ht="14.45" customHeight="1">
      <c r="A31" s="41" t="s">
        <v>37</v>
      </c>
      <c r="B31" s="42" t="s">
        <v>43</v>
      </c>
      <c r="C31" s="43">
        <v>34</v>
      </c>
      <c r="D31" s="44"/>
      <c r="E31" s="52"/>
      <c r="F31" s="52"/>
    </row>
    <row r="32" spans="1:6" ht="14.45" customHeight="1">
      <c r="A32" s="4"/>
      <c r="B32" s="9" t="s">
        <v>59</v>
      </c>
      <c r="C32" s="14" t="s">
        <v>64</v>
      </c>
      <c r="D32" s="2"/>
      <c r="E32" s="51">
        <v>2454900</v>
      </c>
      <c r="F32" s="51"/>
    </row>
    <row r="33" spans="1:7" ht="14.45" customHeight="1">
      <c r="A33" s="4"/>
      <c r="B33" s="8" t="s">
        <v>15</v>
      </c>
      <c r="C33" s="14" t="s">
        <v>65</v>
      </c>
      <c r="D33" s="2"/>
      <c r="E33" s="51"/>
      <c r="F33" s="51"/>
    </row>
    <row r="34" spans="1:7" ht="14.45" customHeight="1">
      <c r="A34" s="4"/>
      <c r="B34" s="8" t="s">
        <v>16</v>
      </c>
      <c r="C34" s="14" t="s">
        <v>66</v>
      </c>
      <c r="D34" s="2"/>
      <c r="E34" s="51"/>
      <c r="F34" s="51"/>
    </row>
    <row r="35" spans="1:7" ht="14.45" customHeight="1">
      <c r="A35" s="4" t="s">
        <v>38</v>
      </c>
      <c r="B35" s="8" t="s">
        <v>17</v>
      </c>
      <c r="C35" s="14">
        <v>37</v>
      </c>
      <c r="D35" s="2"/>
      <c r="E35" s="51"/>
      <c r="F35" s="51"/>
    </row>
    <row r="36" spans="1:7" ht="14.45" customHeight="1">
      <c r="A36" s="4"/>
      <c r="B36" s="7" t="s">
        <v>42</v>
      </c>
      <c r="C36" s="13"/>
      <c r="D36" s="2"/>
      <c r="E36" s="53">
        <f>SUM(E28:E35)</f>
        <v>17739900</v>
      </c>
      <c r="F36" s="51"/>
    </row>
    <row r="37" spans="1:7" ht="14.45" customHeight="1">
      <c r="A37" s="4" t="s">
        <v>39</v>
      </c>
      <c r="B37" s="8" t="s">
        <v>106</v>
      </c>
      <c r="C37" s="14">
        <v>39</v>
      </c>
      <c r="D37" s="2"/>
      <c r="E37" s="54"/>
      <c r="F37" s="51"/>
    </row>
    <row r="38" spans="1:7" ht="14.45" customHeight="1">
      <c r="A38" s="4" t="s">
        <v>40</v>
      </c>
      <c r="B38" s="8" t="s">
        <v>47</v>
      </c>
      <c r="C38" s="14">
        <v>42</v>
      </c>
      <c r="D38" s="2"/>
      <c r="E38" s="51"/>
      <c r="F38" s="51"/>
    </row>
    <row r="39" spans="1:7" ht="14.45" customHeight="1">
      <c r="A39" s="4" t="s">
        <v>111</v>
      </c>
      <c r="B39" s="8" t="s">
        <v>110</v>
      </c>
      <c r="C39" s="14">
        <v>48</v>
      </c>
      <c r="D39" s="2"/>
      <c r="E39" s="51"/>
      <c r="F39" s="51"/>
    </row>
    <row r="40" spans="1:7" ht="14.45" customHeight="1">
      <c r="A40" s="3"/>
      <c r="B40" s="7" t="s">
        <v>48</v>
      </c>
      <c r="C40" s="14"/>
      <c r="D40" s="2"/>
      <c r="E40" s="53">
        <f>+E36+E37</f>
        <v>17739900</v>
      </c>
      <c r="F40" s="51"/>
    </row>
    <row r="41" spans="1:7" ht="14.45" customHeight="1">
      <c r="A41" s="3" t="s">
        <v>112</v>
      </c>
      <c r="B41" s="10" t="s">
        <v>44</v>
      </c>
      <c r="C41" s="13">
        <v>50</v>
      </c>
      <c r="D41" s="2"/>
      <c r="E41" s="51">
        <f>+E12+E26-E40</f>
        <v>11175710</v>
      </c>
      <c r="F41" s="51"/>
      <c r="G41" s="73">
        <f>+E41-'SỔ TM 2023'!G39-'SỔ NH 2024'!I45</f>
        <v>-4015364</v>
      </c>
    </row>
    <row r="42" spans="1:7" ht="30" customHeight="1">
      <c r="A42" s="3" t="s">
        <v>41</v>
      </c>
      <c r="B42" s="10" t="s">
        <v>18</v>
      </c>
      <c r="C42" s="35">
        <v>60</v>
      </c>
      <c r="D42" s="2"/>
      <c r="E42" s="51"/>
      <c r="F42" s="51"/>
    </row>
    <row r="43" spans="1:7" ht="28.9" customHeight="1">
      <c r="A43" s="6" t="s">
        <v>19</v>
      </c>
    </row>
    <row r="46" spans="1:7">
      <c r="C46" s="176" t="s">
        <v>105</v>
      </c>
      <c r="D46" s="176"/>
      <c r="E46" s="176"/>
      <c r="F46" s="176"/>
    </row>
    <row r="47" spans="1:7">
      <c r="C47" s="176" t="s">
        <v>101</v>
      </c>
      <c r="D47" s="176"/>
      <c r="E47" s="176"/>
      <c r="F47" s="176"/>
    </row>
    <row r="48" spans="1:7">
      <c r="B48" s="6" t="s">
        <v>45</v>
      </c>
      <c r="C48" s="176" t="s">
        <v>102</v>
      </c>
      <c r="D48" s="176"/>
      <c r="E48" s="176"/>
      <c r="F48" s="176"/>
    </row>
    <row r="54" spans="1:5">
      <c r="A54" s="173" t="s">
        <v>174</v>
      </c>
      <c r="B54" s="173"/>
      <c r="D54" s="172" t="s">
        <v>172</v>
      </c>
      <c r="E54" s="172"/>
    </row>
  </sheetData>
  <mergeCells count="7">
    <mergeCell ref="D54:E54"/>
    <mergeCell ref="A54:B54"/>
    <mergeCell ref="A4:F4"/>
    <mergeCell ref="A5:F5"/>
    <mergeCell ref="C46:F46"/>
    <mergeCell ref="C47:F47"/>
    <mergeCell ref="C48:F48"/>
  </mergeCells>
  <printOptions horizontalCentered="1"/>
  <pageMargins left="0" right="0" top="0" bottom="0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49"/>
  <sheetViews>
    <sheetView topLeftCell="A25" workbookViewId="0">
      <selection activeCell="G39" sqref="G39"/>
    </sheetView>
  </sheetViews>
  <sheetFormatPr defaultRowHeight="15"/>
  <cols>
    <col min="1" max="1" width="11.28515625" customWidth="1"/>
    <col min="2" max="2" width="10.85546875" customWidth="1"/>
    <col min="3" max="3" width="10.140625" customWidth="1"/>
    <col min="4" max="4" width="46" customWidth="1"/>
    <col min="5" max="6" width="12.85546875" style="1" customWidth="1"/>
    <col min="7" max="7" width="13.28515625" customWidth="1"/>
    <col min="8" max="8" width="12" customWidth="1"/>
    <col min="257" max="257" width="14.28515625" customWidth="1"/>
    <col min="260" max="260" width="64" customWidth="1"/>
    <col min="261" max="263" width="14.7109375" customWidth="1"/>
    <col min="264" max="264" width="13.7109375" customWidth="1"/>
    <col min="513" max="513" width="14.28515625" customWidth="1"/>
    <col min="516" max="516" width="64" customWidth="1"/>
    <col min="517" max="519" width="14.7109375" customWidth="1"/>
    <col min="520" max="520" width="13.7109375" customWidth="1"/>
    <col min="769" max="769" width="14.28515625" customWidth="1"/>
    <col min="772" max="772" width="64" customWidth="1"/>
    <col min="773" max="775" width="14.7109375" customWidth="1"/>
    <col min="776" max="776" width="13.7109375" customWidth="1"/>
    <col min="1025" max="1025" width="14.28515625" customWidth="1"/>
    <col min="1028" max="1028" width="64" customWidth="1"/>
    <col min="1029" max="1031" width="14.7109375" customWidth="1"/>
    <col min="1032" max="1032" width="13.7109375" customWidth="1"/>
    <col min="1281" max="1281" width="14.28515625" customWidth="1"/>
    <col min="1284" max="1284" width="64" customWidth="1"/>
    <col min="1285" max="1287" width="14.7109375" customWidth="1"/>
    <col min="1288" max="1288" width="13.7109375" customWidth="1"/>
    <col min="1537" max="1537" width="14.28515625" customWidth="1"/>
    <col min="1540" max="1540" width="64" customWidth="1"/>
    <col min="1541" max="1543" width="14.7109375" customWidth="1"/>
    <col min="1544" max="1544" width="13.7109375" customWidth="1"/>
    <col min="1793" max="1793" width="14.28515625" customWidth="1"/>
    <col min="1796" max="1796" width="64" customWidth="1"/>
    <col min="1797" max="1799" width="14.7109375" customWidth="1"/>
    <col min="1800" max="1800" width="13.7109375" customWidth="1"/>
    <col min="2049" max="2049" width="14.28515625" customWidth="1"/>
    <col min="2052" max="2052" width="64" customWidth="1"/>
    <col min="2053" max="2055" width="14.7109375" customWidth="1"/>
    <col min="2056" max="2056" width="13.7109375" customWidth="1"/>
    <col min="2305" max="2305" width="14.28515625" customWidth="1"/>
    <col min="2308" max="2308" width="64" customWidth="1"/>
    <col min="2309" max="2311" width="14.7109375" customWidth="1"/>
    <col min="2312" max="2312" width="13.7109375" customWidth="1"/>
    <col min="2561" max="2561" width="14.28515625" customWidth="1"/>
    <col min="2564" max="2564" width="64" customWidth="1"/>
    <col min="2565" max="2567" width="14.7109375" customWidth="1"/>
    <col min="2568" max="2568" width="13.7109375" customWidth="1"/>
    <col min="2817" max="2817" width="14.28515625" customWidth="1"/>
    <col min="2820" max="2820" width="64" customWidth="1"/>
    <col min="2821" max="2823" width="14.7109375" customWidth="1"/>
    <col min="2824" max="2824" width="13.7109375" customWidth="1"/>
    <col min="3073" max="3073" width="14.28515625" customWidth="1"/>
    <col min="3076" max="3076" width="64" customWidth="1"/>
    <col min="3077" max="3079" width="14.7109375" customWidth="1"/>
    <col min="3080" max="3080" width="13.7109375" customWidth="1"/>
    <col min="3329" max="3329" width="14.28515625" customWidth="1"/>
    <col min="3332" max="3332" width="64" customWidth="1"/>
    <col min="3333" max="3335" width="14.7109375" customWidth="1"/>
    <col min="3336" max="3336" width="13.7109375" customWidth="1"/>
    <col min="3585" max="3585" width="14.28515625" customWidth="1"/>
    <col min="3588" max="3588" width="64" customWidth="1"/>
    <col min="3589" max="3591" width="14.7109375" customWidth="1"/>
    <col min="3592" max="3592" width="13.7109375" customWidth="1"/>
    <col min="3841" max="3841" width="14.28515625" customWidth="1"/>
    <col min="3844" max="3844" width="64" customWidth="1"/>
    <col min="3845" max="3847" width="14.7109375" customWidth="1"/>
    <col min="3848" max="3848" width="13.7109375" customWidth="1"/>
    <col min="4097" max="4097" width="14.28515625" customWidth="1"/>
    <col min="4100" max="4100" width="64" customWidth="1"/>
    <col min="4101" max="4103" width="14.7109375" customWidth="1"/>
    <col min="4104" max="4104" width="13.7109375" customWidth="1"/>
    <col min="4353" max="4353" width="14.28515625" customWidth="1"/>
    <col min="4356" max="4356" width="64" customWidth="1"/>
    <col min="4357" max="4359" width="14.7109375" customWidth="1"/>
    <col min="4360" max="4360" width="13.7109375" customWidth="1"/>
    <col min="4609" max="4609" width="14.28515625" customWidth="1"/>
    <col min="4612" max="4612" width="64" customWidth="1"/>
    <col min="4613" max="4615" width="14.7109375" customWidth="1"/>
    <col min="4616" max="4616" width="13.7109375" customWidth="1"/>
    <col min="4865" max="4865" width="14.28515625" customWidth="1"/>
    <col min="4868" max="4868" width="64" customWidth="1"/>
    <col min="4869" max="4871" width="14.7109375" customWidth="1"/>
    <col min="4872" max="4872" width="13.7109375" customWidth="1"/>
    <col min="5121" max="5121" width="14.28515625" customWidth="1"/>
    <col min="5124" max="5124" width="64" customWidth="1"/>
    <col min="5125" max="5127" width="14.7109375" customWidth="1"/>
    <col min="5128" max="5128" width="13.7109375" customWidth="1"/>
    <col min="5377" max="5377" width="14.28515625" customWidth="1"/>
    <col min="5380" max="5380" width="64" customWidth="1"/>
    <col min="5381" max="5383" width="14.7109375" customWidth="1"/>
    <col min="5384" max="5384" width="13.7109375" customWidth="1"/>
    <col min="5633" max="5633" width="14.28515625" customWidth="1"/>
    <col min="5636" max="5636" width="64" customWidth="1"/>
    <col min="5637" max="5639" width="14.7109375" customWidth="1"/>
    <col min="5640" max="5640" width="13.7109375" customWidth="1"/>
    <col min="5889" max="5889" width="14.28515625" customWidth="1"/>
    <col min="5892" max="5892" width="64" customWidth="1"/>
    <col min="5893" max="5895" width="14.7109375" customWidth="1"/>
    <col min="5896" max="5896" width="13.7109375" customWidth="1"/>
    <col min="6145" max="6145" width="14.28515625" customWidth="1"/>
    <col min="6148" max="6148" width="64" customWidth="1"/>
    <col min="6149" max="6151" width="14.7109375" customWidth="1"/>
    <col min="6152" max="6152" width="13.7109375" customWidth="1"/>
    <col min="6401" max="6401" width="14.28515625" customWidth="1"/>
    <col min="6404" max="6404" width="64" customWidth="1"/>
    <col min="6405" max="6407" width="14.7109375" customWidth="1"/>
    <col min="6408" max="6408" width="13.7109375" customWidth="1"/>
    <col min="6657" max="6657" width="14.28515625" customWidth="1"/>
    <col min="6660" max="6660" width="64" customWidth="1"/>
    <col min="6661" max="6663" width="14.7109375" customWidth="1"/>
    <col min="6664" max="6664" width="13.7109375" customWidth="1"/>
    <col min="6913" max="6913" width="14.28515625" customWidth="1"/>
    <col min="6916" max="6916" width="64" customWidth="1"/>
    <col min="6917" max="6919" width="14.7109375" customWidth="1"/>
    <col min="6920" max="6920" width="13.7109375" customWidth="1"/>
    <col min="7169" max="7169" width="14.28515625" customWidth="1"/>
    <col min="7172" max="7172" width="64" customWidth="1"/>
    <col min="7173" max="7175" width="14.7109375" customWidth="1"/>
    <col min="7176" max="7176" width="13.7109375" customWidth="1"/>
    <col min="7425" max="7425" width="14.28515625" customWidth="1"/>
    <col min="7428" max="7428" width="64" customWidth="1"/>
    <col min="7429" max="7431" width="14.7109375" customWidth="1"/>
    <col min="7432" max="7432" width="13.7109375" customWidth="1"/>
    <col min="7681" max="7681" width="14.28515625" customWidth="1"/>
    <col min="7684" max="7684" width="64" customWidth="1"/>
    <col min="7685" max="7687" width="14.7109375" customWidth="1"/>
    <col min="7688" max="7688" width="13.7109375" customWidth="1"/>
    <col min="7937" max="7937" width="14.28515625" customWidth="1"/>
    <col min="7940" max="7940" width="64" customWidth="1"/>
    <col min="7941" max="7943" width="14.7109375" customWidth="1"/>
    <col min="7944" max="7944" width="13.7109375" customWidth="1"/>
    <col min="8193" max="8193" width="14.28515625" customWidth="1"/>
    <col min="8196" max="8196" width="64" customWidth="1"/>
    <col min="8197" max="8199" width="14.7109375" customWidth="1"/>
    <col min="8200" max="8200" width="13.7109375" customWidth="1"/>
    <col min="8449" max="8449" width="14.28515625" customWidth="1"/>
    <col min="8452" max="8452" width="64" customWidth="1"/>
    <col min="8453" max="8455" width="14.7109375" customWidth="1"/>
    <col min="8456" max="8456" width="13.7109375" customWidth="1"/>
    <col min="8705" max="8705" width="14.28515625" customWidth="1"/>
    <col min="8708" max="8708" width="64" customWidth="1"/>
    <col min="8709" max="8711" width="14.7109375" customWidth="1"/>
    <col min="8712" max="8712" width="13.7109375" customWidth="1"/>
    <col min="8961" max="8961" width="14.28515625" customWidth="1"/>
    <col min="8964" max="8964" width="64" customWidth="1"/>
    <col min="8965" max="8967" width="14.7109375" customWidth="1"/>
    <col min="8968" max="8968" width="13.7109375" customWidth="1"/>
    <col min="9217" max="9217" width="14.28515625" customWidth="1"/>
    <col min="9220" max="9220" width="64" customWidth="1"/>
    <col min="9221" max="9223" width="14.7109375" customWidth="1"/>
    <col min="9224" max="9224" width="13.7109375" customWidth="1"/>
    <col min="9473" max="9473" width="14.28515625" customWidth="1"/>
    <col min="9476" max="9476" width="64" customWidth="1"/>
    <col min="9477" max="9479" width="14.7109375" customWidth="1"/>
    <col min="9480" max="9480" width="13.7109375" customWidth="1"/>
    <col min="9729" max="9729" width="14.28515625" customWidth="1"/>
    <col min="9732" max="9732" width="64" customWidth="1"/>
    <col min="9733" max="9735" width="14.7109375" customWidth="1"/>
    <col min="9736" max="9736" width="13.7109375" customWidth="1"/>
    <col min="9985" max="9985" width="14.28515625" customWidth="1"/>
    <col min="9988" max="9988" width="64" customWidth="1"/>
    <col min="9989" max="9991" width="14.7109375" customWidth="1"/>
    <col min="9992" max="9992" width="13.7109375" customWidth="1"/>
    <col min="10241" max="10241" width="14.28515625" customWidth="1"/>
    <col min="10244" max="10244" width="64" customWidth="1"/>
    <col min="10245" max="10247" width="14.7109375" customWidth="1"/>
    <col min="10248" max="10248" width="13.7109375" customWidth="1"/>
    <col min="10497" max="10497" width="14.28515625" customWidth="1"/>
    <col min="10500" max="10500" width="64" customWidth="1"/>
    <col min="10501" max="10503" width="14.7109375" customWidth="1"/>
    <col min="10504" max="10504" width="13.7109375" customWidth="1"/>
    <col min="10753" max="10753" width="14.28515625" customWidth="1"/>
    <col min="10756" max="10756" width="64" customWidth="1"/>
    <col min="10757" max="10759" width="14.7109375" customWidth="1"/>
    <col min="10760" max="10760" width="13.7109375" customWidth="1"/>
    <col min="11009" max="11009" width="14.28515625" customWidth="1"/>
    <col min="11012" max="11012" width="64" customWidth="1"/>
    <col min="11013" max="11015" width="14.7109375" customWidth="1"/>
    <col min="11016" max="11016" width="13.7109375" customWidth="1"/>
    <col min="11265" max="11265" width="14.28515625" customWidth="1"/>
    <col min="11268" max="11268" width="64" customWidth="1"/>
    <col min="11269" max="11271" width="14.7109375" customWidth="1"/>
    <col min="11272" max="11272" width="13.7109375" customWidth="1"/>
    <col min="11521" max="11521" width="14.28515625" customWidth="1"/>
    <col min="11524" max="11524" width="64" customWidth="1"/>
    <col min="11525" max="11527" width="14.7109375" customWidth="1"/>
    <col min="11528" max="11528" width="13.7109375" customWidth="1"/>
    <col min="11777" max="11777" width="14.28515625" customWidth="1"/>
    <col min="11780" max="11780" width="64" customWidth="1"/>
    <col min="11781" max="11783" width="14.7109375" customWidth="1"/>
    <col min="11784" max="11784" width="13.7109375" customWidth="1"/>
    <col min="12033" max="12033" width="14.28515625" customWidth="1"/>
    <col min="12036" max="12036" width="64" customWidth="1"/>
    <col min="12037" max="12039" width="14.7109375" customWidth="1"/>
    <col min="12040" max="12040" width="13.7109375" customWidth="1"/>
    <col min="12289" max="12289" width="14.28515625" customWidth="1"/>
    <col min="12292" max="12292" width="64" customWidth="1"/>
    <col min="12293" max="12295" width="14.7109375" customWidth="1"/>
    <col min="12296" max="12296" width="13.7109375" customWidth="1"/>
    <col min="12545" max="12545" width="14.28515625" customWidth="1"/>
    <col min="12548" max="12548" width="64" customWidth="1"/>
    <col min="12549" max="12551" width="14.7109375" customWidth="1"/>
    <col min="12552" max="12552" width="13.7109375" customWidth="1"/>
    <col min="12801" max="12801" width="14.28515625" customWidth="1"/>
    <col min="12804" max="12804" width="64" customWidth="1"/>
    <col min="12805" max="12807" width="14.7109375" customWidth="1"/>
    <col min="12808" max="12808" width="13.7109375" customWidth="1"/>
    <col min="13057" max="13057" width="14.28515625" customWidth="1"/>
    <col min="13060" max="13060" width="64" customWidth="1"/>
    <col min="13061" max="13063" width="14.7109375" customWidth="1"/>
    <col min="13064" max="13064" width="13.7109375" customWidth="1"/>
    <col min="13313" max="13313" width="14.28515625" customWidth="1"/>
    <col min="13316" max="13316" width="64" customWidth="1"/>
    <col min="13317" max="13319" width="14.7109375" customWidth="1"/>
    <col min="13320" max="13320" width="13.7109375" customWidth="1"/>
    <col min="13569" max="13569" width="14.28515625" customWidth="1"/>
    <col min="13572" max="13572" width="64" customWidth="1"/>
    <col min="13573" max="13575" width="14.7109375" customWidth="1"/>
    <col min="13576" max="13576" width="13.7109375" customWidth="1"/>
    <col min="13825" max="13825" width="14.28515625" customWidth="1"/>
    <col min="13828" max="13828" width="64" customWidth="1"/>
    <col min="13829" max="13831" width="14.7109375" customWidth="1"/>
    <col min="13832" max="13832" width="13.7109375" customWidth="1"/>
    <col min="14081" max="14081" width="14.28515625" customWidth="1"/>
    <col min="14084" max="14084" width="64" customWidth="1"/>
    <col min="14085" max="14087" width="14.7109375" customWidth="1"/>
    <col min="14088" max="14088" width="13.7109375" customWidth="1"/>
    <col min="14337" max="14337" width="14.28515625" customWidth="1"/>
    <col min="14340" max="14340" width="64" customWidth="1"/>
    <col min="14341" max="14343" width="14.7109375" customWidth="1"/>
    <col min="14344" max="14344" width="13.7109375" customWidth="1"/>
    <col min="14593" max="14593" width="14.28515625" customWidth="1"/>
    <col min="14596" max="14596" width="64" customWidth="1"/>
    <col min="14597" max="14599" width="14.7109375" customWidth="1"/>
    <col min="14600" max="14600" width="13.7109375" customWidth="1"/>
    <col min="14849" max="14849" width="14.28515625" customWidth="1"/>
    <col min="14852" max="14852" width="64" customWidth="1"/>
    <col min="14853" max="14855" width="14.7109375" customWidth="1"/>
    <col min="14856" max="14856" width="13.7109375" customWidth="1"/>
    <col min="15105" max="15105" width="14.28515625" customWidth="1"/>
    <col min="15108" max="15108" width="64" customWidth="1"/>
    <col min="15109" max="15111" width="14.7109375" customWidth="1"/>
    <col min="15112" max="15112" width="13.7109375" customWidth="1"/>
    <col min="15361" max="15361" width="14.28515625" customWidth="1"/>
    <col min="15364" max="15364" width="64" customWidth="1"/>
    <col min="15365" max="15367" width="14.7109375" customWidth="1"/>
    <col min="15368" max="15368" width="13.7109375" customWidth="1"/>
    <col min="15617" max="15617" width="14.28515625" customWidth="1"/>
    <col min="15620" max="15620" width="64" customWidth="1"/>
    <col min="15621" max="15623" width="14.7109375" customWidth="1"/>
    <col min="15624" max="15624" width="13.7109375" customWidth="1"/>
    <col min="15873" max="15873" width="14.28515625" customWidth="1"/>
    <col min="15876" max="15876" width="64" customWidth="1"/>
    <col min="15877" max="15879" width="14.7109375" customWidth="1"/>
    <col min="15880" max="15880" width="13.7109375" customWidth="1"/>
    <col min="16129" max="16129" width="14.28515625" customWidth="1"/>
    <col min="16132" max="16132" width="64" customWidth="1"/>
    <col min="16133" max="16135" width="14.7109375" customWidth="1"/>
    <col min="16136" max="16136" width="13.7109375" customWidth="1"/>
  </cols>
  <sheetData>
    <row r="1" spans="1:9" ht="16.5">
      <c r="A1" s="46" t="s">
        <v>107</v>
      </c>
      <c r="B1" s="15"/>
      <c r="C1" s="15"/>
      <c r="D1" s="15"/>
      <c r="E1" s="40"/>
      <c r="F1" s="67" t="s">
        <v>68</v>
      </c>
      <c r="H1" s="16"/>
    </row>
    <row r="2" spans="1:9" ht="16.5">
      <c r="A2" s="30" t="s">
        <v>115</v>
      </c>
      <c r="B2" s="15"/>
      <c r="C2" s="15"/>
      <c r="D2" s="15"/>
      <c r="E2" s="40"/>
      <c r="F2" s="28" t="s">
        <v>88</v>
      </c>
      <c r="H2" s="16"/>
    </row>
    <row r="3" spans="1:9" ht="16.5">
      <c r="A3" s="15"/>
      <c r="B3" s="15"/>
      <c r="C3" s="15"/>
      <c r="D3" s="15"/>
      <c r="E3" s="40"/>
      <c r="F3" s="29" t="s">
        <v>87</v>
      </c>
      <c r="H3" s="16"/>
    </row>
    <row r="4" spans="1:9" ht="27.6" customHeight="1">
      <c r="A4" s="174" t="s">
        <v>69</v>
      </c>
      <c r="B4" s="174"/>
      <c r="C4" s="174"/>
      <c r="D4" s="174"/>
      <c r="E4" s="174"/>
      <c r="F4" s="174"/>
      <c r="G4" s="174"/>
      <c r="H4" s="174"/>
    </row>
    <row r="5" spans="1:9" ht="16.899999999999999" customHeight="1">
      <c r="A5" s="174" t="s">
        <v>114</v>
      </c>
      <c r="B5" s="174"/>
      <c r="C5" s="174"/>
      <c r="D5" s="174"/>
      <c r="E5" s="174"/>
      <c r="F5" s="174"/>
      <c r="G5" s="174"/>
      <c r="H5" s="174"/>
    </row>
    <row r="6" spans="1:9" ht="16.5">
      <c r="A6" s="16"/>
      <c r="B6" s="16"/>
      <c r="C6" s="16"/>
      <c r="D6" s="16"/>
      <c r="E6" s="62"/>
      <c r="F6" s="62"/>
      <c r="G6" s="16"/>
      <c r="H6" s="16"/>
      <c r="I6" s="16"/>
    </row>
    <row r="7" spans="1:9" ht="16.5">
      <c r="A7" s="181" t="s">
        <v>82</v>
      </c>
      <c r="B7" s="181"/>
      <c r="C7" s="181"/>
      <c r="D7" s="179" t="s">
        <v>70</v>
      </c>
      <c r="E7" s="181" t="s">
        <v>71</v>
      </c>
      <c r="F7" s="181"/>
      <c r="G7" s="181"/>
      <c r="H7" s="179" t="s">
        <v>92</v>
      </c>
      <c r="I7" s="16"/>
    </row>
    <row r="8" spans="1:9" ht="16.5">
      <c r="A8" s="18" t="s">
        <v>72</v>
      </c>
      <c r="B8" s="18" t="s">
        <v>73</v>
      </c>
      <c r="C8" s="18" t="s">
        <v>74</v>
      </c>
      <c r="D8" s="180"/>
      <c r="E8" s="18" t="s">
        <v>73</v>
      </c>
      <c r="F8" s="18" t="s">
        <v>74</v>
      </c>
      <c r="G8" s="18" t="s">
        <v>75</v>
      </c>
      <c r="H8" s="180"/>
      <c r="I8" s="16"/>
    </row>
    <row r="9" spans="1:9" ht="16.5">
      <c r="A9" s="18" t="s">
        <v>83</v>
      </c>
      <c r="B9" s="18" t="s">
        <v>84</v>
      </c>
      <c r="C9" s="18" t="s">
        <v>85</v>
      </c>
      <c r="D9" s="18" t="s">
        <v>86</v>
      </c>
      <c r="E9" s="18">
        <v>1</v>
      </c>
      <c r="F9" s="18">
        <v>2</v>
      </c>
      <c r="G9" s="18">
        <v>3</v>
      </c>
      <c r="H9" s="18" t="s">
        <v>93</v>
      </c>
      <c r="I9" s="16"/>
    </row>
    <row r="10" spans="1:9" ht="16.5">
      <c r="A10" s="20"/>
      <c r="B10" s="20"/>
      <c r="C10" s="20"/>
      <c r="D10" s="18" t="s">
        <v>94</v>
      </c>
      <c r="E10" s="26"/>
      <c r="F10" s="26"/>
      <c r="G10" s="19">
        <v>15594300</v>
      </c>
      <c r="H10" s="17"/>
    </row>
    <row r="11" spans="1:9" ht="16.5">
      <c r="A11" s="55">
        <v>44928</v>
      </c>
      <c r="B11" s="56" t="s">
        <v>121</v>
      </c>
      <c r="C11" s="26"/>
      <c r="D11" s="57" t="s">
        <v>122</v>
      </c>
      <c r="E11" s="60">
        <v>6984000</v>
      </c>
      <c r="F11" s="68"/>
      <c r="G11" s="21">
        <f>+G10+E11-F11</f>
        <v>22578300</v>
      </c>
      <c r="H11" s="17"/>
    </row>
    <row r="12" spans="1:9" ht="18.75" customHeight="1">
      <c r="A12" s="55">
        <v>44928</v>
      </c>
      <c r="B12" s="56"/>
      <c r="C12" s="56" t="s">
        <v>123</v>
      </c>
      <c r="D12" s="57" t="s">
        <v>148</v>
      </c>
      <c r="E12" s="63"/>
      <c r="F12" s="60">
        <v>200000</v>
      </c>
      <c r="G12" s="21">
        <f t="shared" ref="G12:G36" si="0">+G11+E12-F12</f>
        <v>22378300</v>
      </c>
      <c r="H12" s="17"/>
    </row>
    <row r="13" spans="1:9" ht="18.75" customHeight="1">
      <c r="A13" s="55">
        <v>44936</v>
      </c>
      <c r="B13" s="56"/>
      <c r="C13" s="56" t="s">
        <v>124</v>
      </c>
      <c r="D13" s="57" t="s">
        <v>149</v>
      </c>
      <c r="E13" s="60"/>
      <c r="F13" s="60">
        <v>5000000</v>
      </c>
      <c r="G13" s="21">
        <f t="shared" si="0"/>
        <v>17378300</v>
      </c>
      <c r="H13" s="17"/>
    </row>
    <row r="14" spans="1:9" ht="31.5" customHeight="1">
      <c r="A14" s="55">
        <v>44942</v>
      </c>
      <c r="B14" s="56"/>
      <c r="C14" s="56" t="s">
        <v>125</v>
      </c>
      <c r="D14" s="57" t="s">
        <v>150</v>
      </c>
      <c r="E14" s="60"/>
      <c r="F14" s="60">
        <v>200000</v>
      </c>
      <c r="G14" s="21">
        <f t="shared" si="0"/>
        <v>17178300</v>
      </c>
      <c r="H14" s="17"/>
    </row>
    <row r="15" spans="1:9" ht="18.75" customHeight="1">
      <c r="A15" s="55">
        <v>44955</v>
      </c>
      <c r="B15" s="56"/>
      <c r="C15" s="56" t="s">
        <v>126</v>
      </c>
      <c r="D15" s="57" t="s">
        <v>151</v>
      </c>
      <c r="E15" s="60"/>
      <c r="F15" s="60">
        <v>500000</v>
      </c>
      <c r="G15" s="21">
        <f t="shared" si="0"/>
        <v>16678300</v>
      </c>
      <c r="H15" s="17"/>
    </row>
    <row r="16" spans="1:9" ht="18.75" customHeight="1">
      <c r="A16" s="55">
        <v>44993</v>
      </c>
      <c r="B16" s="56"/>
      <c r="C16" s="56" t="s">
        <v>127</v>
      </c>
      <c r="D16" s="59" t="s">
        <v>152</v>
      </c>
      <c r="E16" s="60"/>
      <c r="F16" s="60">
        <v>800000</v>
      </c>
      <c r="G16" s="21">
        <f t="shared" si="0"/>
        <v>15878300</v>
      </c>
      <c r="H16" s="17"/>
    </row>
    <row r="17" spans="1:8" ht="18.75" customHeight="1">
      <c r="A17" s="55">
        <v>45019</v>
      </c>
      <c r="B17" s="58"/>
      <c r="C17" s="56" t="s">
        <v>128</v>
      </c>
      <c r="D17" s="57" t="s">
        <v>153</v>
      </c>
      <c r="E17" s="60"/>
      <c r="F17" s="60">
        <v>200000</v>
      </c>
      <c r="G17" s="21">
        <f t="shared" si="0"/>
        <v>15678300</v>
      </c>
      <c r="H17" s="17"/>
    </row>
    <row r="18" spans="1:8" ht="18.75" customHeight="1">
      <c r="A18" s="55">
        <v>45032</v>
      </c>
      <c r="B18" s="56"/>
      <c r="C18" s="56" t="s">
        <v>129</v>
      </c>
      <c r="D18" s="57" t="s">
        <v>154</v>
      </c>
      <c r="E18" s="60"/>
      <c r="F18" s="60">
        <v>200000</v>
      </c>
      <c r="G18" s="21">
        <f t="shared" si="0"/>
        <v>15478300</v>
      </c>
      <c r="H18" s="17"/>
    </row>
    <row r="19" spans="1:8" ht="18.75" customHeight="1">
      <c r="A19" s="55">
        <v>45033</v>
      </c>
      <c r="B19" s="56"/>
      <c r="C19" s="56" t="s">
        <v>130</v>
      </c>
      <c r="D19" s="57" t="s">
        <v>155</v>
      </c>
      <c r="E19" s="60"/>
      <c r="F19" s="60">
        <v>200000</v>
      </c>
      <c r="G19" s="21">
        <f t="shared" si="0"/>
        <v>15278300</v>
      </c>
      <c r="H19" s="17"/>
    </row>
    <row r="20" spans="1:8" ht="18.75" customHeight="1">
      <c r="A20" s="55">
        <v>45044</v>
      </c>
      <c r="B20" s="56"/>
      <c r="C20" s="56" t="s">
        <v>131</v>
      </c>
      <c r="D20" s="57" t="s">
        <v>156</v>
      </c>
      <c r="E20" s="60"/>
      <c r="F20" s="60">
        <v>2000000</v>
      </c>
      <c r="G20" s="21">
        <f t="shared" si="0"/>
        <v>13278300</v>
      </c>
      <c r="H20" s="17"/>
    </row>
    <row r="21" spans="1:8" ht="18.75" customHeight="1">
      <c r="A21" s="55">
        <v>45048</v>
      </c>
      <c r="B21" s="56"/>
      <c r="C21" s="56" t="s">
        <v>132</v>
      </c>
      <c r="D21" s="57" t="s">
        <v>157</v>
      </c>
      <c r="E21" s="60"/>
      <c r="F21" s="60">
        <v>200000</v>
      </c>
      <c r="G21" s="21">
        <f t="shared" si="0"/>
        <v>13078300</v>
      </c>
      <c r="H21" s="17"/>
    </row>
    <row r="22" spans="1:8" ht="18.75" customHeight="1">
      <c r="A22" s="55">
        <v>45056</v>
      </c>
      <c r="B22" s="56"/>
      <c r="C22" s="56" t="s">
        <v>133</v>
      </c>
      <c r="D22" s="57" t="s">
        <v>158</v>
      </c>
      <c r="E22" s="63"/>
      <c r="F22" s="60">
        <v>200000</v>
      </c>
      <c r="G22" s="21">
        <f t="shared" si="0"/>
        <v>12878300</v>
      </c>
      <c r="H22" s="17"/>
    </row>
    <row r="23" spans="1:8" ht="18.75" customHeight="1">
      <c r="A23" s="55">
        <v>45071</v>
      </c>
      <c r="B23" s="56"/>
      <c r="C23" s="56" t="s">
        <v>134</v>
      </c>
      <c r="D23" s="57" t="s">
        <v>159</v>
      </c>
      <c r="E23" s="60"/>
      <c r="F23" s="60">
        <v>200000</v>
      </c>
      <c r="G23" s="21">
        <f t="shared" si="0"/>
        <v>12678300</v>
      </c>
      <c r="H23" s="17"/>
    </row>
    <row r="24" spans="1:8" ht="18.75" customHeight="1">
      <c r="A24" s="55">
        <v>45106</v>
      </c>
      <c r="B24" s="56"/>
      <c r="C24" s="56" t="s">
        <v>135</v>
      </c>
      <c r="D24" s="57" t="s">
        <v>160</v>
      </c>
      <c r="E24" s="60"/>
      <c r="F24" s="60">
        <v>200000</v>
      </c>
      <c r="G24" s="21">
        <f t="shared" si="0"/>
        <v>12478300</v>
      </c>
      <c r="H24" s="17"/>
    </row>
    <row r="25" spans="1:8" ht="18.75" customHeight="1">
      <c r="A25" s="55">
        <v>45131</v>
      </c>
      <c r="B25" s="56"/>
      <c r="C25" s="56" t="s">
        <v>136</v>
      </c>
      <c r="D25" s="57" t="s">
        <v>161</v>
      </c>
      <c r="E25" s="60"/>
      <c r="F25" s="60">
        <v>1285000</v>
      </c>
      <c r="G25" s="21">
        <f t="shared" si="0"/>
        <v>11193300</v>
      </c>
      <c r="H25" s="17"/>
    </row>
    <row r="26" spans="1:8" ht="18.75" customHeight="1">
      <c r="A26" s="55">
        <v>45169</v>
      </c>
      <c r="B26" s="56"/>
      <c r="C26" s="56" t="s">
        <v>137</v>
      </c>
      <c r="D26" s="57" t="s">
        <v>162</v>
      </c>
      <c r="E26" s="60"/>
      <c r="F26" s="60">
        <v>2000000</v>
      </c>
      <c r="G26" s="21">
        <f t="shared" si="0"/>
        <v>9193300</v>
      </c>
      <c r="H26" s="17"/>
    </row>
    <row r="27" spans="1:8" ht="18.75" customHeight="1">
      <c r="A27" s="55">
        <v>45187</v>
      </c>
      <c r="B27" s="56"/>
      <c r="C27" s="56" t="s">
        <v>138</v>
      </c>
      <c r="D27" s="57" t="s">
        <v>163</v>
      </c>
      <c r="E27" s="60"/>
      <c r="F27" s="60">
        <v>200000</v>
      </c>
      <c r="G27" s="21">
        <f t="shared" si="0"/>
        <v>8993300</v>
      </c>
      <c r="H27" s="17"/>
    </row>
    <row r="28" spans="1:8" ht="30.75" customHeight="1">
      <c r="A28" s="55">
        <v>45212</v>
      </c>
      <c r="B28" s="56"/>
      <c r="C28" s="56" t="s">
        <v>139</v>
      </c>
      <c r="D28" s="57" t="s">
        <v>164</v>
      </c>
      <c r="E28" s="60"/>
      <c r="F28" s="60">
        <v>200000</v>
      </c>
      <c r="G28" s="21">
        <f t="shared" si="0"/>
        <v>8793300</v>
      </c>
      <c r="H28" s="17"/>
    </row>
    <row r="29" spans="1:8" ht="18.75" customHeight="1">
      <c r="A29" s="55">
        <v>45219</v>
      </c>
      <c r="B29" s="56"/>
      <c r="C29" s="56" t="s">
        <v>140</v>
      </c>
      <c r="D29" s="59" t="s">
        <v>165</v>
      </c>
      <c r="E29" s="60"/>
      <c r="F29" s="60">
        <v>800000</v>
      </c>
      <c r="G29" s="21">
        <f t="shared" si="0"/>
        <v>7993300</v>
      </c>
      <c r="H29" s="17"/>
    </row>
    <row r="30" spans="1:8" ht="18.75" customHeight="1">
      <c r="A30" s="55">
        <v>45255</v>
      </c>
      <c r="B30" s="56"/>
      <c r="C30" s="56" t="s">
        <v>141</v>
      </c>
      <c r="D30" s="57" t="s">
        <v>166</v>
      </c>
      <c r="E30" s="60"/>
      <c r="F30" s="60">
        <v>200000</v>
      </c>
      <c r="G30" s="21">
        <f t="shared" si="0"/>
        <v>7793300</v>
      </c>
      <c r="H30" s="17"/>
    </row>
    <row r="31" spans="1:8" ht="18.75" customHeight="1">
      <c r="A31" s="55">
        <v>45274</v>
      </c>
      <c r="B31" s="56"/>
      <c r="C31" s="56" t="s">
        <v>142</v>
      </c>
      <c r="D31" s="57" t="s">
        <v>161</v>
      </c>
      <c r="E31" s="60"/>
      <c r="F31" s="60">
        <v>300000</v>
      </c>
      <c r="G31" s="21">
        <f t="shared" si="0"/>
        <v>7493300</v>
      </c>
      <c r="H31" s="17"/>
    </row>
    <row r="32" spans="1:8" ht="18.75" customHeight="1">
      <c r="A32" s="55">
        <v>45285</v>
      </c>
      <c r="B32" s="56"/>
      <c r="C32" s="56" t="s">
        <v>143</v>
      </c>
      <c r="D32" s="57" t="s">
        <v>167</v>
      </c>
      <c r="E32" s="60"/>
      <c r="F32" s="60">
        <v>200000</v>
      </c>
      <c r="G32" s="21">
        <f t="shared" si="0"/>
        <v>7293300</v>
      </c>
      <c r="H32" s="17"/>
    </row>
    <row r="33" spans="1:8" ht="35.25" customHeight="1">
      <c r="A33" s="55">
        <v>45291</v>
      </c>
      <c r="B33" s="56"/>
      <c r="C33" s="56" t="s">
        <v>144</v>
      </c>
      <c r="D33" s="57" t="s">
        <v>168</v>
      </c>
      <c r="E33" s="60"/>
      <c r="F33" s="60">
        <f>5010000*0.2</f>
        <v>1002000</v>
      </c>
      <c r="G33" s="21">
        <f t="shared" si="0"/>
        <v>6291300</v>
      </c>
      <c r="H33" s="17"/>
    </row>
    <row r="34" spans="1:8" ht="35.25" customHeight="1">
      <c r="A34" s="55">
        <v>45291</v>
      </c>
      <c r="B34" s="56"/>
      <c r="C34" s="56" t="s">
        <v>145</v>
      </c>
      <c r="D34" s="57" t="s">
        <v>169</v>
      </c>
      <c r="E34" s="60"/>
      <c r="F34" s="60">
        <f>5010000*0.15</f>
        <v>751500</v>
      </c>
      <c r="G34" s="21">
        <f t="shared" si="0"/>
        <v>5539800</v>
      </c>
      <c r="H34" s="17"/>
    </row>
    <row r="35" spans="1:8" ht="36" customHeight="1">
      <c r="A35" s="55">
        <v>45291</v>
      </c>
      <c r="B35" s="56"/>
      <c r="C35" s="56" t="s">
        <v>146</v>
      </c>
      <c r="D35" s="57" t="s">
        <v>170</v>
      </c>
      <c r="E35" s="60"/>
      <c r="F35" s="60">
        <f>5010000*0.14</f>
        <v>701400.00000000012</v>
      </c>
      <c r="G35" s="21">
        <f t="shared" si="0"/>
        <v>4838400</v>
      </c>
      <c r="H35" s="17"/>
    </row>
    <row r="36" spans="1:8" s="71" customFormat="1" ht="16.5">
      <c r="A36" s="55">
        <v>45291</v>
      </c>
      <c r="B36" s="56" t="s">
        <v>147</v>
      </c>
      <c r="C36" s="56"/>
      <c r="D36" s="57" t="s">
        <v>171</v>
      </c>
      <c r="E36" s="60">
        <v>6310800</v>
      </c>
      <c r="F36" s="60"/>
      <c r="G36" s="69">
        <f t="shared" si="0"/>
        <v>11149200</v>
      </c>
      <c r="H36" s="70"/>
    </row>
    <row r="37" spans="1:8" ht="16.5">
      <c r="A37" s="25"/>
      <c r="B37" s="27"/>
      <c r="C37" s="26"/>
      <c r="D37" s="22"/>
      <c r="E37" s="64"/>
      <c r="F37" s="64"/>
      <c r="G37" s="23"/>
      <c r="H37" s="17"/>
    </row>
    <row r="38" spans="1:8" ht="15.75">
      <c r="A38" s="182" t="s">
        <v>76</v>
      </c>
      <c r="B38" s="183"/>
      <c r="C38" s="183"/>
      <c r="D38" s="184"/>
      <c r="E38" s="65">
        <f>SUM(E11:E37)</f>
        <v>13294800</v>
      </c>
      <c r="F38" s="65">
        <f>SUM(F11:F37)</f>
        <v>17739900</v>
      </c>
      <c r="G38" s="24"/>
      <c r="H38" s="2"/>
    </row>
    <row r="39" spans="1:8" ht="19.5" customHeight="1">
      <c r="A39" s="185" t="s">
        <v>176</v>
      </c>
      <c r="B39" s="185"/>
      <c r="C39" s="185"/>
      <c r="D39" s="185"/>
      <c r="E39" s="65"/>
      <c r="F39" s="65"/>
      <c r="G39" s="24">
        <f>+G10+E38-F38</f>
        <v>11149200</v>
      </c>
      <c r="H39" s="2"/>
    </row>
    <row r="41" spans="1:8" ht="15.75">
      <c r="A41" s="31"/>
      <c r="B41" s="31"/>
      <c r="C41" s="31"/>
      <c r="D41" s="31"/>
      <c r="E41" s="178" t="s">
        <v>177</v>
      </c>
      <c r="F41" s="178"/>
      <c r="G41" s="178"/>
      <c r="H41" s="178"/>
    </row>
    <row r="42" spans="1:8" ht="15.75">
      <c r="A42" s="178" t="s">
        <v>77</v>
      </c>
      <c r="B42" s="178"/>
      <c r="C42" s="178"/>
      <c r="D42" s="32" t="s">
        <v>78</v>
      </c>
      <c r="E42" s="178" t="s">
        <v>79</v>
      </c>
      <c r="F42" s="178"/>
      <c r="G42" s="178"/>
      <c r="H42" s="178"/>
    </row>
    <row r="43" spans="1:8" ht="15.75">
      <c r="A43" s="178" t="s">
        <v>80</v>
      </c>
      <c r="B43" s="178"/>
      <c r="C43" s="178"/>
      <c r="D43" s="32" t="s">
        <v>80</v>
      </c>
      <c r="E43" s="178" t="s">
        <v>81</v>
      </c>
      <c r="F43" s="178"/>
      <c r="G43" s="178"/>
      <c r="H43" s="178"/>
    </row>
    <row r="44" spans="1:8" ht="15.75">
      <c r="A44" s="33"/>
      <c r="B44" s="33"/>
      <c r="C44" s="33"/>
      <c r="D44" s="33"/>
      <c r="E44" s="66"/>
      <c r="F44" s="66"/>
      <c r="G44" s="33"/>
    </row>
    <row r="45" spans="1:8" ht="16.5">
      <c r="A45" s="16"/>
      <c r="B45" s="16"/>
      <c r="C45" s="16"/>
      <c r="D45" s="16"/>
      <c r="E45" s="62"/>
      <c r="F45" s="62"/>
      <c r="G45" s="16"/>
    </row>
    <row r="46" spans="1:8" ht="16.5">
      <c r="A46" s="16"/>
      <c r="B46" s="16"/>
      <c r="C46" s="16"/>
      <c r="D46" s="16"/>
      <c r="E46" s="62"/>
      <c r="F46" s="62"/>
      <c r="G46" s="16"/>
    </row>
    <row r="47" spans="1:8" ht="16.5">
      <c r="A47" s="16"/>
      <c r="B47" s="16"/>
      <c r="C47" s="16"/>
      <c r="D47" s="16"/>
      <c r="E47" s="62"/>
      <c r="F47" s="62"/>
      <c r="G47" s="16"/>
    </row>
    <row r="48" spans="1:8" ht="16.5">
      <c r="A48" s="16"/>
      <c r="B48" s="16"/>
      <c r="C48" s="16"/>
      <c r="D48" s="16"/>
      <c r="E48" s="62"/>
      <c r="F48" s="62"/>
      <c r="G48" s="16"/>
    </row>
    <row r="49" spans="1:8" ht="16.5">
      <c r="A49" s="16"/>
      <c r="B49" s="16"/>
      <c r="C49" s="16"/>
      <c r="D49" s="62" t="s">
        <v>173</v>
      </c>
      <c r="E49" s="177" t="s">
        <v>178</v>
      </c>
      <c r="F49" s="177"/>
      <c r="G49" s="177"/>
      <c r="H49" s="177"/>
    </row>
  </sheetData>
  <mergeCells count="14">
    <mergeCell ref="E49:H49"/>
    <mergeCell ref="A42:C42"/>
    <mergeCell ref="A43:C43"/>
    <mergeCell ref="H7:H8"/>
    <mergeCell ref="A4:H4"/>
    <mergeCell ref="A5:H5"/>
    <mergeCell ref="E41:H41"/>
    <mergeCell ref="E42:H42"/>
    <mergeCell ref="E43:H43"/>
    <mergeCell ref="A7:C7"/>
    <mergeCell ref="D7:D8"/>
    <mergeCell ref="E7:G7"/>
    <mergeCell ref="A38:D38"/>
    <mergeCell ref="A39:D39"/>
  </mergeCells>
  <printOptions horizontalCentered="1"/>
  <pageMargins left="0" right="0" top="0" bottom="0" header="0.31496062992125984" footer="0.31496062992125984"/>
  <pageSetup paperSize="9" scale="7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37"/>
  <sheetViews>
    <sheetView workbookViewId="0">
      <selection activeCell="D21" sqref="D21:F21"/>
    </sheetView>
  </sheetViews>
  <sheetFormatPr defaultColWidth="9.140625" defaultRowHeight="15"/>
  <cols>
    <col min="1" max="1" width="11.42578125" style="34" customWidth="1"/>
    <col min="2" max="2" width="11.85546875" style="34" customWidth="1"/>
    <col min="3" max="5" width="14.140625" style="34" customWidth="1"/>
    <col min="6" max="6" width="15.5703125" style="34" customWidth="1"/>
    <col min="7" max="9" width="14.42578125" style="34" customWidth="1"/>
    <col min="10" max="256" width="9.140625" style="34"/>
    <col min="257" max="257" width="11.42578125" style="34" customWidth="1"/>
    <col min="258" max="258" width="11.85546875" style="34" customWidth="1"/>
    <col min="259" max="261" width="14.140625" style="34" customWidth="1"/>
    <col min="262" max="263" width="15.5703125" style="34" customWidth="1"/>
    <col min="264" max="264" width="14.85546875" style="34" customWidth="1"/>
    <col min="265" max="512" width="9.140625" style="34"/>
    <col min="513" max="513" width="11.42578125" style="34" customWidth="1"/>
    <col min="514" max="514" width="11.85546875" style="34" customWidth="1"/>
    <col min="515" max="517" width="14.140625" style="34" customWidth="1"/>
    <col min="518" max="519" width="15.5703125" style="34" customWidth="1"/>
    <col min="520" max="520" width="14.85546875" style="34" customWidth="1"/>
    <col min="521" max="768" width="9.140625" style="34"/>
    <col min="769" max="769" width="11.42578125" style="34" customWidth="1"/>
    <col min="770" max="770" width="11.85546875" style="34" customWidth="1"/>
    <col min="771" max="773" width="14.140625" style="34" customWidth="1"/>
    <col min="774" max="775" width="15.5703125" style="34" customWidth="1"/>
    <col min="776" max="776" width="14.85546875" style="34" customWidth="1"/>
    <col min="777" max="1024" width="9.140625" style="34"/>
    <col min="1025" max="1025" width="11.42578125" style="34" customWidth="1"/>
    <col min="1026" max="1026" width="11.85546875" style="34" customWidth="1"/>
    <col min="1027" max="1029" width="14.140625" style="34" customWidth="1"/>
    <col min="1030" max="1031" width="15.5703125" style="34" customWidth="1"/>
    <col min="1032" max="1032" width="14.85546875" style="34" customWidth="1"/>
    <col min="1033" max="1280" width="9.140625" style="34"/>
    <col min="1281" max="1281" width="11.42578125" style="34" customWidth="1"/>
    <col min="1282" max="1282" width="11.85546875" style="34" customWidth="1"/>
    <col min="1283" max="1285" width="14.140625" style="34" customWidth="1"/>
    <col min="1286" max="1287" width="15.5703125" style="34" customWidth="1"/>
    <col min="1288" max="1288" width="14.85546875" style="34" customWidth="1"/>
    <col min="1289" max="1536" width="9.140625" style="34"/>
    <col min="1537" max="1537" width="11.42578125" style="34" customWidth="1"/>
    <col min="1538" max="1538" width="11.85546875" style="34" customWidth="1"/>
    <col min="1539" max="1541" width="14.140625" style="34" customWidth="1"/>
    <col min="1542" max="1543" width="15.5703125" style="34" customWidth="1"/>
    <col min="1544" max="1544" width="14.85546875" style="34" customWidth="1"/>
    <col min="1545" max="1792" width="9.140625" style="34"/>
    <col min="1793" max="1793" width="11.42578125" style="34" customWidth="1"/>
    <col min="1794" max="1794" width="11.85546875" style="34" customWidth="1"/>
    <col min="1795" max="1797" width="14.140625" style="34" customWidth="1"/>
    <col min="1798" max="1799" width="15.5703125" style="34" customWidth="1"/>
    <col min="1800" max="1800" width="14.85546875" style="34" customWidth="1"/>
    <col min="1801" max="2048" width="9.140625" style="34"/>
    <col min="2049" max="2049" width="11.42578125" style="34" customWidth="1"/>
    <col min="2050" max="2050" width="11.85546875" style="34" customWidth="1"/>
    <col min="2051" max="2053" width="14.140625" style="34" customWidth="1"/>
    <col min="2054" max="2055" width="15.5703125" style="34" customWidth="1"/>
    <col min="2056" max="2056" width="14.85546875" style="34" customWidth="1"/>
    <col min="2057" max="2304" width="9.140625" style="34"/>
    <col min="2305" max="2305" width="11.42578125" style="34" customWidth="1"/>
    <col min="2306" max="2306" width="11.85546875" style="34" customWidth="1"/>
    <col min="2307" max="2309" width="14.140625" style="34" customWidth="1"/>
    <col min="2310" max="2311" width="15.5703125" style="34" customWidth="1"/>
    <col min="2312" max="2312" width="14.85546875" style="34" customWidth="1"/>
    <col min="2313" max="2560" width="9.140625" style="34"/>
    <col min="2561" max="2561" width="11.42578125" style="34" customWidth="1"/>
    <col min="2562" max="2562" width="11.85546875" style="34" customWidth="1"/>
    <col min="2563" max="2565" width="14.140625" style="34" customWidth="1"/>
    <col min="2566" max="2567" width="15.5703125" style="34" customWidth="1"/>
    <col min="2568" max="2568" width="14.85546875" style="34" customWidth="1"/>
    <col min="2569" max="2816" width="9.140625" style="34"/>
    <col min="2817" max="2817" width="11.42578125" style="34" customWidth="1"/>
    <col min="2818" max="2818" width="11.85546875" style="34" customWidth="1"/>
    <col min="2819" max="2821" width="14.140625" style="34" customWidth="1"/>
    <col min="2822" max="2823" width="15.5703125" style="34" customWidth="1"/>
    <col min="2824" max="2824" width="14.85546875" style="34" customWidth="1"/>
    <col min="2825" max="3072" width="9.140625" style="34"/>
    <col min="3073" max="3073" width="11.42578125" style="34" customWidth="1"/>
    <col min="3074" max="3074" width="11.85546875" style="34" customWidth="1"/>
    <col min="3075" max="3077" width="14.140625" style="34" customWidth="1"/>
    <col min="3078" max="3079" width="15.5703125" style="34" customWidth="1"/>
    <col min="3080" max="3080" width="14.85546875" style="34" customWidth="1"/>
    <col min="3081" max="3328" width="9.140625" style="34"/>
    <col min="3329" max="3329" width="11.42578125" style="34" customWidth="1"/>
    <col min="3330" max="3330" width="11.85546875" style="34" customWidth="1"/>
    <col min="3331" max="3333" width="14.140625" style="34" customWidth="1"/>
    <col min="3334" max="3335" width="15.5703125" style="34" customWidth="1"/>
    <col min="3336" max="3336" width="14.85546875" style="34" customWidth="1"/>
    <col min="3337" max="3584" width="9.140625" style="34"/>
    <col min="3585" max="3585" width="11.42578125" style="34" customWidth="1"/>
    <col min="3586" max="3586" width="11.85546875" style="34" customWidth="1"/>
    <col min="3587" max="3589" width="14.140625" style="34" customWidth="1"/>
    <col min="3590" max="3591" width="15.5703125" style="34" customWidth="1"/>
    <col min="3592" max="3592" width="14.85546875" style="34" customWidth="1"/>
    <col min="3593" max="3840" width="9.140625" style="34"/>
    <col min="3841" max="3841" width="11.42578125" style="34" customWidth="1"/>
    <col min="3842" max="3842" width="11.85546875" style="34" customWidth="1"/>
    <col min="3843" max="3845" width="14.140625" style="34" customWidth="1"/>
    <col min="3846" max="3847" width="15.5703125" style="34" customWidth="1"/>
    <col min="3848" max="3848" width="14.85546875" style="34" customWidth="1"/>
    <col min="3849" max="4096" width="9.140625" style="34"/>
    <col min="4097" max="4097" width="11.42578125" style="34" customWidth="1"/>
    <col min="4098" max="4098" width="11.85546875" style="34" customWidth="1"/>
    <col min="4099" max="4101" width="14.140625" style="34" customWidth="1"/>
    <col min="4102" max="4103" width="15.5703125" style="34" customWidth="1"/>
    <col min="4104" max="4104" width="14.85546875" style="34" customWidth="1"/>
    <col min="4105" max="4352" width="9.140625" style="34"/>
    <col min="4353" max="4353" width="11.42578125" style="34" customWidth="1"/>
    <col min="4354" max="4354" width="11.85546875" style="34" customWidth="1"/>
    <col min="4355" max="4357" width="14.140625" style="34" customWidth="1"/>
    <col min="4358" max="4359" width="15.5703125" style="34" customWidth="1"/>
    <col min="4360" max="4360" width="14.85546875" style="34" customWidth="1"/>
    <col min="4361" max="4608" width="9.140625" style="34"/>
    <col min="4609" max="4609" width="11.42578125" style="34" customWidth="1"/>
    <col min="4610" max="4610" width="11.85546875" style="34" customWidth="1"/>
    <col min="4611" max="4613" width="14.140625" style="34" customWidth="1"/>
    <col min="4614" max="4615" width="15.5703125" style="34" customWidth="1"/>
    <col min="4616" max="4616" width="14.85546875" style="34" customWidth="1"/>
    <col min="4617" max="4864" width="9.140625" style="34"/>
    <col min="4865" max="4865" width="11.42578125" style="34" customWidth="1"/>
    <col min="4866" max="4866" width="11.85546875" style="34" customWidth="1"/>
    <col min="4867" max="4869" width="14.140625" style="34" customWidth="1"/>
    <col min="4870" max="4871" width="15.5703125" style="34" customWidth="1"/>
    <col min="4872" max="4872" width="14.85546875" style="34" customWidth="1"/>
    <col min="4873" max="5120" width="9.140625" style="34"/>
    <col min="5121" max="5121" width="11.42578125" style="34" customWidth="1"/>
    <col min="5122" max="5122" width="11.85546875" style="34" customWidth="1"/>
    <col min="5123" max="5125" width="14.140625" style="34" customWidth="1"/>
    <col min="5126" max="5127" width="15.5703125" style="34" customWidth="1"/>
    <col min="5128" max="5128" width="14.85546875" style="34" customWidth="1"/>
    <col min="5129" max="5376" width="9.140625" style="34"/>
    <col min="5377" max="5377" width="11.42578125" style="34" customWidth="1"/>
    <col min="5378" max="5378" width="11.85546875" style="34" customWidth="1"/>
    <col min="5379" max="5381" width="14.140625" style="34" customWidth="1"/>
    <col min="5382" max="5383" width="15.5703125" style="34" customWidth="1"/>
    <col min="5384" max="5384" width="14.85546875" style="34" customWidth="1"/>
    <col min="5385" max="5632" width="9.140625" style="34"/>
    <col min="5633" max="5633" width="11.42578125" style="34" customWidth="1"/>
    <col min="5634" max="5634" width="11.85546875" style="34" customWidth="1"/>
    <col min="5635" max="5637" width="14.140625" style="34" customWidth="1"/>
    <col min="5638" max="5639" width="15.5703125" style="34" customWidth="1"/>
    <col min="5640" max="5640" width="14.85546875" style="34" customWidth="1"/>
    <col min="5641" max="5888" width="9.140625" style="34"/>
    <col min="5889" max="5889" width="11.42578125" style="34" customWidth="1"/>
    <col min="5890" max="5890" width="11.85546875" style="34" customWidth="1"/>
    <col min="5891" max="5893" width="14.140625" style="34" customWidth="1"/>
    <col min="5894" max="5895" width="15.5703125" style="34" customWidth="1"/>
    <col min="5896" max="5896" width="14.85546875" style="34" customWidth="1"/>
    <col min="5897" max="6144" width="9.140625" style="34"/>
    <col min="6145" max="6145" width="11.42578125" style="34" customWidth="1"/>
    <col min="6146" max="6146" width="11.85546875" style="34" customWidth="1"/>
    <col min="6147" max="6149" width="14.140625" style="34" customWidth="1"/>
    <col min="6150" max="6151" width="15.5703125" style="34" customWidth="1"/>
    <col min="6152" max="6152" width="14.85546875" style="34" customWidth="1"/>
    <col min="6153" max="6400" width="9.140625" style="34"/>
    <col min="6401" max="6401" width="11.42578125" style="34" customWidth="1"/>
    <col min="6402" max="6402" width="11.85546875" style="34" customWidth="1"/>
    <col min="6403" max="6405" width="14.140625" style="34" customWidth="1"/>
    <col min="6406" max="6407" width="15.5703125" style="34" customWidth="1"/>
    <col min="6408" max="6408" width="14.85546875" style="34" customWidth="1"/>
    <col min="6409" max="6656" width="9.140625" style="34"/>
    <col min="6657" max="6657" width="11.42578125" style="34" customWidth="1"/>
    <col min="6658" max="6658" width="11.85546875" style="34" customWidth="1"/>
    <col min="6659" max="6661" width="14.140625" style="34" customWidth="1"/>
    <col min="6662" max="6663" width="15.5703125" style="34" customWidth="1"/>
    <col min="6664" max="6664" width="14.85546875" style="34" customWidth="1"/>
    <col min="6665" max="6912" width="9.140625" style="34"/>
    <col min="6913" max="6913" width="11.42578125" style="34" customWidth="1"/>
    <col min="6914" max="6914" width="11.85546875" style="34" customWidth="1"/>
    <col min="6915" max="6917" width="14.140625" style="34" customWidth="1"/>
    <col min="6918" max="6919" width="15.5703125" style="34" customWidth="1"/>
    <col min="6920" max="6920" width="14.85546875" style="34" customWidth="1"/>
    <col min="6921" max="7168" width="9.140625" style="34"/>
    <col min="7169" max="7169" width="11.42578125" style="34" customWidth="1"/>
    <col min="7170" max="7170" width="11.85546875" style="34" customWidth="1"/>
    <col min="7171" max="7173" width="14.140625" style="34" customWidth="1"/>
    <col min="7174" max="7175" width="15.5703125" style="34" customWidth="1"/>
    <col min="7176" max="7176" width="14.85546875" style="34" customWidth="1"/>
    <col min="7177" max="7424" width="9.140625" style="34"/>
    <col min="7425" max="7425" width="11.42578125" style="34" customWidth="1"/>
    <col min="7426" max="7426" width="11.85546875" style="34" customWidth="1"/>
    <col min="7427" max="7429" width="14.140625" style="34" customWidth="1"/>
    <col min="7430" max="7431" width="15.5703125" style="34" customWidth="1"/>
    <col min="7432" max="7432" width="14.85546875" style="34" customWidth="1"/>
    <col min="7433" max="7680" width="9.140625" style="34"/>
    <col min="7681" max="7681" width="11.42578125" style="34" customWidth="1"/>
    <col min="7682" max="7682" width="11.85546875" style="34" customWidth="1"/>
    <col min="7683" max="7685" width="14.140625" style="34" customWidth="1"/>
    <col min="7686" max="7687" width="15.5703125" style="34" customWidth="1"/>
    <col min="7688" max="7688" width="14.85546875" style="34" customWidth="1"/>
    <col min="7689" max="7936" width="9.140625" style="34"/>
    <col min="7937" max="7937" width="11.42578125" style="34" customWidth="1"/>
    <col min="7938" max="7938" width="11.85546875" style="34" customWidth="1"/>
    <col min="7939" max="7941" width="14.140625" style="34" customWidth="1"/>
    <col min="7942" max="7943" width="15.5703125" style="34" customWidth="1"/>
    <col min="7944" max="7944" width="14.85546875" style="34" customWidth="1"/>
    <col min="7945" max="8192" width="9.140625" style="34"/>
    <col min="8193" max="8193" width="11.42578125" style="34" customWidth="1"/>
    <col min="8194" max="8194" width="11.85546875" style="34" customWidth="1"/>
    <col min="8195" max="8197" width="14.140625" style="34" customWidth="1"/>
    <col min="8198" max="8199" width="15.5703125" style="34" customWidth="1"/>
    <col min="8200" max="8200" width="14.85546875" style="34" customWidth="1"/>
    <col min="8201" max="8448" width="9.140625" style="34"/>
    <col min="8449" max="8449" width="11.42578125" style="34" customWidth="1"/>
    <col min="8450" max="8450" width="11.85546875" style="34" customWidth="1"/>
    <col min="8451" max="8453" width="14.140625" style="34" customWidth="1"/>
    <col min="8454" max="8455" width="15.5703125" style="34" customWidth="1"/>
    <col min="8456" max="8456" width="14.85546875" style="34" customWidth="1"/>
    <col min="8457" max="8704" width="9.140625" style="34"/>
    <col min="8705" max="8705" width="11.42578125" style="34" customWidth="1"/>
    <col min="8706" max="8706" width="11.85546875" style="34" customWidth="1"/>
    <col min="8707" max="8709" width="14.140625" style="34" customWidth="1"/>
    <col min="8710" max="8711" width="15.5703125" style="34" customWidth="1"/>
    <col min="8712" max="8712" width="14.85546875" style="34" customWidth="1"/>
    <col min="8713" max="8960" width="9.140625" style="34"/>
    <col min="8961" max="8961" width="11.42578125" style="34" customWidth="1"/>
    <col min="8962" max="8962" width="11.85546875" style="34" customWidth="1"/>
    <col min="8963" max="8965" width="14.140625" style="34" customWidth="1"/>
    <col min="8966" max="8967" width="15.5703125" style="34" customWidth="1"/>
    <col min="8968" max="8968" width="14.85546875" style="34" customWidth="1"/>
    <col min="8969" max="9216" width="9.140625" style="34"/>
    <col min="9217" max="9217" width="11.42578125" style="34" customWidth="1"/>
    <col min="9218" max="9218" width="11.85546875" style="34" customWidth="1"/>
    <col min="9219" max="9221" width="14.140625" style="34" customWidth="1"/>
    <col min="9222" max="9223" width="15.5703125" style="34" customWidth="1"/>
    <col min="9224" max="9224" width="14.85546875" style="34" customWidth="1"/>
    <col min="9225" max="9472" width="9.140625" style="34"/>
    <col min="9473" max="9473" width="11.42578125" style="34" customWidth="1"/>
    <col min="9474" max="9474" width="11.85546875" style="34" customWidth="1"/>
    <col min="9475" max="9477" width="14.140625" style="34" customWidth="1"/>
    <col min="9478" max="9479" width="15.5703125" style="34" customWidth="1"/>
    <col min="9480" max="9480" width="14.85546875" style="34" customWidth="1"/>
    <col min="9481" max="9728" width="9.140625" style="34"/>
    <col min="9729" max="9729" width="11.42578125" style="34" customWidth="1"/>
    <col min="9730" max="9730" width="11.85546875" style="34" customWidth="1"/>
    <col min="9731" max="9733" width="14.140625" style="34" customWidth="1"/>
    <col min="9734" max="9735" width="15.5703125" style="34" customWidth="1"/>
    <col min="9736" max="9736" width="14.85546875" style="34" customWidth="1"/>
    <col min="9737" max="9984" width="9.140625" style="34"/>
    <col min="9985" max="9985" width="11.42578125" style="34" customWidth="1"/>
    <col min="9986" max="9986" width="11.85546875" style="34" customWidth="1"/>
    <col min="9987" max="9989" width="14.140625" style="34" customWidth="1"/>
    <col min="9990" max="9991" width="15.5703125" style="34" customWidth="1"/>
    <col min="9992" max="9992" width="14.85546875" style="34" customWidth="1"/>
    <col min="9993" max="10240" width="9.140625" style="34"/>
    <col min="10241" max="10241" width="11.42578125" style="34" customWidth="1"/>
    <col min="10242" max="10242" width="11.85546875" style="34" customWidth="1"/>
    <col min="10243" max="10245" width="14.140625" style="34" customWidth="1"/>
    <col min="10246" max="10247" width="15.5703125" style="34" customWidth="1"/>
    <col min="10248" max="10248" width="14.85546875" style="34" customWidth="1"/>
    <col min="10249" max="10496" width="9.140625" style="34"/>
    <col min="10497" max="10497" width="11.42578125" style="34" customWidth="1"/>
    <col min="10498" max="10498" width="11.85546875" style="34" customWidth="1"/>
    <col min="10499" max="10501" width="14.140625" style="34" customWidth="1"/>
    <col min="10502" max="10503" width="15.5703125" style="34" customWidth="1"/>
    <col min="10504" max="10504" width="14.85546875" style="34" customWidth="1"/>
    <col min="10505" max="10752" width="9.140625" style="34"/>
    <col min="10753" max="10753" width="11.42578125" style="34" customWidth="1"/>
    <col min="10754" max="10754" width="11.85546875" style="34" customWidth="1"/>
    <col min="10755" max="10757" width="14.140625" style="34" customWidth="1"/>
    <col min="10758" max="10759" width="15.5703125" style="34" customWidth="1"/>
    <col min="10760" max="10760" width="14.85546875" style="34" customWidth="1"/>
    <col min="10761" max="11008" width="9.140625" style="34"/>
    <col min="11009" max="11009" width="11.42578125" style="34" customWidth="1"/>
    <col min="11010" max="11010" width="11.85546875" style="34" customWidth="1"/>
    <col min="11011" max="11013" width="14.140625" style="34" customWidth="1"/>
    <col min="11014" max="11015" width="15.5703125" style="34" customWidth="1"/>
    <col min="11016" max="11016" width="14.85546875" style="34" customWidth="1"/>
    <col min="11017" max="11264" width="9.140625" style="34"/>
    <col min="11265" max="11265" width="11.42578125" style="34" customWidth="1"/>
    <col min="11266" max="11266" width="11.85546875" style="34" customWidth="1"/>
    <col min="11267" max="11269" width="14.140625" style="34" customWidth="1"/>
    <col min="11270" max="11271" width="15.5703125" style="34" customWidth="1"/>
    <col min="11272" max="11272" width="14.85546875" style="34" customWidth="1"/>
    <col min="11273" max="11520" width="9.140625" style="34"/>
    <col min="11521" max="11521" width="11.42578125" style="34" customWidth="1"/>
    <col min="11522" max="11522" width="11.85546875" style="34" customWidth="1"/>
    <col min="11523" max="11525" width="14.140625" style="34" customWidth="1"/>
    <col min="11526" max="11527" width="15.5703125" style="34" customWidth="1"/>
    <col min="11528" max="11528" width="14.85546875" style="34" customWidth="1"/>
    <col min="11529" max="11776" width="9.140625" style="34"/>
    <col min="11777" max="11777" width="11.42578125" style="34" customWidth="1"/>
    <col min="11778" max="11778" width="11.85546875" style="34" customWidth="1"/>
    <col min="11779" max="11781" width="14.140625" style="34" customWidth="1"/>
    <col min="11782" max="11783" width="15.5703125" style="34" customWidth="1"/>
    <col min="11784" max="11784" width="14.85546875" style="34" customWidth="1"/>
    <col min="11785" max="12032" width="9.140625" style="34"/>
    <col min="12033" max="12033" width="11.42578125" style="34" customWidth="1"/>
    <col min="12034" max="12034" width="11.85546875" style="34" customWidth="1"/>
    <col min="12035" max="12037" width="14.140625" style="34" customWidth="1"/>
    <col min="12038" max="12039" width="15.5703125" style="34" customWidth="1"/>
    <col min="12040" max="12040" width="14.85546875" style="34" customWidth="1"/>
    <col min="12041" max="12288" width="9.140625" style="34"/>
    <col min="12289" max="12289" width="11.42578125" style="34" customWidth="1"/>
    <col min="12290" max="12290" width="11.85546875" style="34" customWidth="1"/>
    <col min="12291" max="12293" width="14.140625" style="34" customWidth="1"/>
    <col min="12294" max="12295" width="15.5703125" style="34" customWidth="1"/>
    <col min="12296" max="12296" width="14.85546875" style="34" customWidth="1"/>
    <col min="12297" max="12544" width="9.140625" style="34"/>
    <col min="12545" max="12545" width="11.42578125" style="34" customWidth="1"/>
    <col min="12546" max="12546" width="11.85546875" style="34" customWidth="1"/>
    <col min="12547" max="12549" width="14.140625" style="34" customWidth="1"/>
    <col min="12550" max="12551" width="15.5703125" style="34" customWidth="1"/>
    <col min="12552" max="12552" width="14.85546875" style="34" customWidth="1"/>
    <col min="12553" max="12800" width="9.140625" style="34"/>
    <col min="12801" max="12801" width="11.42578125" style="34" customWidth="1"/>
    <col min="12802" max="12802" width="11.85546875" style="34" customWidth="1"/>
    <col min="12803" max="12805" width="14.140625" style="34" customWidth="1"/>
    <col min="12806" max="12807" width="15.5703125" style="34" customWidth="1"/>
    <col min="12808" max="12808" width="14.85546875" style="34" customWidth="1"/>
    <col min="12809" max="13056" width="9.140625" style="34"/>
    <col min="13057" max="13057" width="11.42578125" style="34" customWidth="1"/>
    <col min="13058" max="13058" width="11.85546875" style="34" customWidth="1"/>
    <col min="13059" max="13061" width="14.140625" style="34" customWidth="1"/>
    <col min="13062" max="13063" width="15.5703125" style="34" customWidth="1"/>
    <col min="13064" max="13064" width="14.85546875" style="34" customWidth="1"/>
    <col min="13065" max="13312" width="9.140625" style="34"/>
    <col min="13313" max="13313" width="11.42578125" style="34" customWidth="1"/>
    <col min="13314" max="13314" width="11.85546875" style="34" customWidth="1"/>
    <col min="13315" max="13317" width="14.140625" style="34" customWidth="1"/>
    <col min="13318" max="13319" width="15.5703125" style="34" customWidth="1"/>
    <col min="13320" max="13320" width="14.85546875" style="34" customWidth="1"/>
    <col min="13321" max="13568" width="9.140625" style="34"/>
    <col min="13569" max="13569" width="11.42578125" style="34" customWidth="1"/>
    <col min="13570" max="13570" width="11.85546875" style="34" customWidth="1"/>
    <col min="13571" max="13573" width="14.140625" style="34" customWidth="1"/>
    <col min="13574" max="13575" width="15.5703125" style="34" customWidth="1"/>
    <col min="13576" max="13576" width="14.85546875" style="34" customWidth="1"/>
    <col min="13577" max="13824" width="9.140625" style="34"/>
    <col min="13825" max="13825" width="11.42578125" style="34" customWidth="1"/>
    <col min="13826" max="13826" width="11.85546875" style="34" customWidth="1"/>
    <col min="13827" max="13829" width="14.140625" style="34" customWidth="1"/>
    <col min="13830" max="13831" width="15.5703125" style="34" customWidth="1"/>
    <col min="13832" max="13832" width="14.85546875" style="34" customWidth="1"/>
    <col min="13833" max="14080" width="9.140625" style="34"/>
    <col min="14081" max="14081" width="11.42578125" style="34" customWidth="1"/>
    <col min="14082" max="14082" width="11.85546875" style="34" customWidth="1"/>
    <col min="14083" max="14085" width="14.140625" style="34" customWidth="1"/>
    <col min="14086" max="14087" width="15.5703125" style="34" customWidth="1"/>
    <col min="14088" max="14088" width="14.85546875" style="34" customWidth="1"/>
    <col min="14089" max="14336" width="9.140625" style="34"/>
    <col min="14337" max="14337" width="11.42578125" style="34" customWidth="1"/>
    <col min="14338" max="14338" width="11.85546875" style="34" customWidth="1"/>
    <col min="14339" max="14341" width="14.140625" style="34" customWidth="1"/>
    <col min="14342" max="14343" width="15.5703125" style="34" customWidth="1"/>
    <col min="14344" max="14344" width="14.85546875" style="34" customWidth="1"/>
    <col min="14345" max="14592" width="9.140625" style="34"/>
    <col min="14593" max="14593" width="11.42578125" style="34" customWidth="1"/>
    <col min="14594" max="14594" width="11.85546875" style="34" customWidth="1"/>
    <col min="14595" max="14597" width="14.140625" style="34" customWidth="1"/>
    <col min="14598" max="14599" width="15.5703125" style="34" customWidth="1"/>
    <col min="14600" max="14600" width="14.85546875" style="34" customWidth="1"/>
    <col min="14601" max="14848" width="9.140625" style="34"/>
    <col min="14849" max="14849" width="11.42578125" style="34" customWidth="1"/>
    <col min="14850" max="14850" width="11.85546875" style="34" customWidth="1"/>
    <col min="14851" max="14853" width="14.140625" style="34" customWidth="1"/>
    <col min="14854" max="14855" width="15.5703125" style="34" customWidth="1"/>
    <col min="14856" max="14856" width="14.85546875" style="34" customWidth="1"/>
    <col min="14857" max="15104" width="9.140625" style="34"/>
    <col min="15105" max="15105" width="11.42578125" style="34" customWidth="1"/>
    <col min="15106" max="15106" width="11.85546875" style="34" customWidth="1"/>
    <col min="15107" max="15109" width="14.140625" style="34" customWidth="1"/>
    <col min="15110" max="15111" width="15.5703125" style="34" customWidth="1"/>
    <col min="15112" max="15112" width="14.85546875" style="34" customWidth="1"/>
    <col min="15113" max="15360" width="9.140625" style="34"/>
    <col min="15361" max="15361" width="11.42578125" style="34" customWidth="1"/>
    <col min="15362" max="15362" width="11.85546875" style="34" customWidth="1"/>
    <col min="15363" max="15365" width="14.140625" style="34" customWidth="1"/>
    <col min="15366" max="15367" width="15.5703125" style="34" customWidth="1"/>
    <col min="15368" max="15368" width="14.85546875" style="34" customWidth="1"/>
    <col min="15369" max="15616" width="9.140625" style="34"/>
    <col min="15617" max="15617" width="11.42578125" style="34" customWidth="1"/>
    <col min="15618" max="15618" width="11.85546875" style="34" customWidth="1"/>
    <col min="15619" max="15621" width="14.140625" style="34" customWidth="1"/>
    <col min="15622" max="15623" width="15.5703125" style="34" customWidth="1"/>
    <col min="15624" max="15624" width="14.85546875" style="34" customWidth="1"/>
    <col min="15625" max="15872" width="9.140625" style="34"/>
    <col min="15873" max="15873" width="11.42578125" style="34" customWidth="1"/>
    <col min="15874" max="15874" width="11.85546875" style="34" customWidth="1"/>
    <col min="15875" max="15877" width="14.140625" style="34" customWidth="1"/>
    <col min="15878" max="15879" width="15.5703125" style="34" customWidth="1"/>
    <col min="15880" max="15880" width="14.85546875" style="34" customWidth="1"/>
    <col min="15881" max="16128" width="9.140625" style="34"/>
    <col min="16129" max="16129" width="11.42578125" style="34" customWidth="1"/>
    <col min="16130" max="16130" width="11.85546875" style="34" customWidth="1"/>
    <col min="16131" max="16133" width="14.140625" style="34" customWidth="1"/>
    <col min="16134" max="16135" width="15.5703125" style="34" customWidth="1"/>
    <col min="16136" max="16136" width="14.85546875" style="34" customWidth="1"/>
    <col min="16137" max="16384" width="9.140625" style="34"/>
  </cols>
  <sheetData>
    <row r="1" spans="1:11" ht="15.75">
      <c r="A1" s="46" t="s">
        <v>107</v>
      </c>
      <c r="B1" s="15"/>
      <c r="C1" s="15"/>
      <c r="D1" s="15"/>
      <c r="E1" s="15"/>
      <c r="H1" s="12" t="s">
        <v>68</v>
      </c>
      <c r="I1" s="15"/>
      <c r="J1" s="15"/>
    </row>
    <row r="2" spans="1:11" ht="15.75">
      <c r="A2" s="46" t="s">
        <v>115</v>
      </c>
      <c r="B2" s="15"/>
      <c r="C2" s="15"/>
      <c r="D2" s="15"/>
      <c r="E2" s="15"/>
      <c r="H2" s="28" t="s">
        <v>88</v>
      </c>
      <c r="I2" s="15"/>
      <c r="J2" s="15"/>
    </row>
    <row r="3" spans="1:11">
      <c r="A3" s="15"/>
      <c r="B3" s="15"/>
      <c r="C3" s="15"/>
      <c r="D3" s="15"/>
      <c r="E3" s="15"/>
      <c r="H3" s="29" t="s">
        <v>87</v>
      </c>
      <c r="I3" s="15"/>
      <c r="J3" s="15"/>
    </row>
    <row r="4" spans="1:11">
      <c r="A4" s="15"/>
      <c r="B4" s="15"/>
      <c r="C4" s="15"/>
      <c r="D4" s="15"/>
      <c r="E4" s="15"/>
      <c r="G4" s="29"/>
      <c r="H4" s="15"/>
      <c r="I4" s="15"/>
      <c r="J4" s="15"/>
    </row>
    <row r="5" spans="1:11" ht="25.15" customHeight="1">
      <c r="A5" s="174" t="s">
        <v>104</v>
      </c>
      <c r="B5" s="174"/>
      <c r="C5" s="174"/>
      <c r="D5" s="174"/>
      <c r="E5" s="174"/>
      <c r="F5" s="174"/>
      <c r="G5" s="174"/>
      <c r="H5" s="174"/>
      <c r="I5" s="174"/>
      <c r="J5" s="174"/>
    </row>
    <row r="6" spans="1:11" ht="13.9" customHeight="1">
      <c r="A6" s="174" t="s">
        <v>114</v>
      </c>
      <c r="B6" s="174"/>
      <c r="C6" s="174"/>
      <c r="D6" s="174"/>
      <c r="E6" s="174"/>
      <c r="F6" s="174"/>
      <c r="G6" s="174"/>
      <c r="H6" s="174"/>
      <c r="I6" s="174"/>
      <c r="J6" s="174"/>
    </row>
    <row r="7" spans="1:11">
      <c r="A7" s="15"/>
      <c r="B7" s="15"/>
      <c r="C7" s="15"/>
      <c r="D7" s="15"/>
      <c r="E7" s="15"/>
      <c r="F7" s="15"/>
      <c r="G7" s="15"/>
      <c r="H7" s="15"/>
      <c r="I7" s="15"/>
      <c r="J7" s="15"/>
    </row>
    <row r="8" spans="1:11">
      <c r="A8" s="199" t="s">
        <v>95</v>
      </c>
      <c r="B8" s="193" t="s">
        <v>96</v>
      </c>
      <c r="C8" s="195"/>
      <c r="D8" s="201" t="s">
        <v>70</v>
      </c>
      <c r="E8" s="202"/>
      <c r="F8" s="202"/>
      <c r="G8" s="205" t="s">
        <v>71</v>
      </c>
      <c r="H8" s="205"/>
      <c r="I8" s="205"/>
      <c r="J8" s="206" t="s">
        <v>92</v>
      </c>
      <c r="K8" s="15"/>
    </row>
    <row r="9" spans="1:11">
      <c r="A9" s="200"/>
      <c r="B9" s="35" t="s">
        <v>89</v>
      </c>
      <c r="C9" s="35" t="s">
        <v>72</v>
      </c>
      <c r="D9" s="203"/>
      <c r="E9" s="204"/>
      <c r="F9" s="204"/>
      <c r="G9" s="35" t="s">
        <v>97</v>
      </c>
      <c r="H9" s="35" t="s">
        <v>98</v>
      </c>
      <c r="I9" s="35" t="s">
        <v>90</v>
      </c>
      <c r="J9" s="207"/>
      <c r="K9" s="15"/>
    </row>
    <row r="10" spans="1:11">
      <c r="A10" s="35" t="s">
        <v>83</v>
      </c>
      <c r="B10" s="35" t="s">
        <v>84</v>
      </c>
      <c r="C10" s="35" t="s">
        <v>85</v>
      </c>
      <c r="D10" s="193" t="s">
        <v>99</v>
      </c>
      <c r="E10" s="194"/>
      <c r="F10" s="195"/>
      <c r="G10" s="35">
        <v>1</v>
      </c>
      <c r="H10" s="35">
        <v>2</v>
      </c>
      <c r="I10" s="35">
        <v>3</v>
      </c>
      <c r="J10" s="35" t="s">
        <v>100</v>
      </c>
      <c r="K10" s="15"/>
    </row>
    <row r="11" spans="1:11" customFormat="1" ht="16.5">
      <c r="A11" s="20"/>
      <c r="B11" s="20"/>
      <c r="C11" s="20"/>
      <c r="D11" s="196" t="s">
        <v>94</v>
      </c>
      <c r="E11" s="197"/>
      <c r="F11" s="198"/>
      <c r="G11" s="19"/>
      <c r="H11" s="17"/>
      <c r="I11" s="53">
        <v>26460</v>
      </c>
      <c r="J11" s="2"/>
    </row>
    <row r="12" spans="1:11" ht="15.75">
      <c r="A12" s="8"/>
      <c r="B12" s="37"/>
      <c r="C12" s="20" t="s">
        <v>179</v>
      </c>
      <c r="D12" s="187" t="s">
        <v>180</v>
      </c>
      <c r="E12" s="188"/>
      <c r="F12" s="188"/>
      <c r="G12" s="38">
        <v>4</v>
      </c>
      <c r="H12" s="38"/>
      <c r="I12" s="38">
        <f>+I11+G12-H12</f>
        <v>26464</v>
      </c>
      <c r="J12" s="39"/>
    </row>
    <row r="13" spans="1:11" ht="15.75">
      <c r="A13" s="8"/>
      <c r="B13" s="37"/>
      <c r="C13" s="20" t="s">
        <v>181</v>
      </c>
      <c r="D13" s="187" t="s">
        <v>180</v>
      </c>
      <c r="E13" s="188"/>
      <c r="F13" s="188"/>
      <c r="G13" s="38">
        <v>4</v>
      </c>
      <c r="H13" s="38"/>
      <c r="I13" s="38">
        <f t="shared" ref="I13:I23" si="0">+I12+G13-H13</f>
        <v>26468</v>
      </c>
      <c r="J13" s="39"/>
    </row>
    <row r="14" spans="1:11" ht="15.75">
      <c r="A14" s="8"/>
      <c r="B14" s="37"/>
      <c r="C14" s="20" t="s">
        <v>182</v>
      </c>
      <c r="D14" s="187" t="s">
        <v>180</v>
      </c>
      <c r="E14" s="188"/>
      <c r="F14" s="188"/>
      <c r="G14" s="38">
        <v>4</v>
      </c>
      <c r="H14" s="38"/>
      <c r="I14" s="38">
        <f t="shared" si="0"/>
        <v>26472</v>
      </c>
      <c r="J14" s="39"/>
    </row>
    <row r="15" spans="1:11" ht="15.75">
      <c r="A15" s="8"/>
      <c r="B15" s="37"/>
      <c r="C15" s="20" t="s">
        <v>183</v>
      </c>
      <c r="D15" s="187" t="s">
        <v>180</v>
      </c>
      <c r="E15" s="188"/>
      <c r="F15" s="188"/>
      <c r="G15" s="38">
        <v>4</v>
      </c>
      <c r="H15" s="38"/>
      <c r="I15" s="38">
        <f t="shared" si="0"/>
        <v>26476</v>
      </c>
      <c r="J15" s="39"/>
    </row>
    <row r="16" spans="1:11" ht="15.75">
      <c r="A16" s="8"/>
      <c r="B16" s="37"/>
      <c r="C16" s="20" t="s">
        <v>184</v>
      </c>
      <c r="D16" s="187" t="s">
        <v>180</v>
      </c>
      <c r="E16" s="188"/>
      <c r="F16" s="188"/>
      <c r="G16" s="38">
        <v>4</v>
      </c>
      <c r="H16" s="38"/>
      <c r="I16" s="38">
        <f t="shared" si="0"/>
        <v>26480</v>
      </c>
      <c r="J16" s="39"/>
    </row>
    <row r="17" spans="1:10" ht="15.75">
      <c r="A17" s="8"/>
      <c r="B17" s="37"/>
      <c r="C17" s="20" t="s">
        <v>185</v>
      </c>
      <c r="D17" s="187" t="s">
        <v>180</v>
      </c>
      <c r="E17" s="188"/>
      <c r="F17" s="188"/>
      <c r="G17" s="38">
        <v>4</v>
      </c>
      <c r="H17" s="38"/>
      <c r="I17" s="38">
        <f t="shared" si="0"/>
        <v>26484</v>
      </c>
      <c r="J17" s="39"/>
    </row>
    <row r="18" spans="1:10" ht="15.75">
      <c r="A18" s="8"/>
      <c r="B18" s="37"/>
      <c r="C18" s="20" t="s">
        <v>186</v>
      </c>
      <c r="D18" s="187" t="s">
        <v>180</v>
      </c>
      <c r="E18" s="188"/>
      <c r="F18" s="188"/>
      <c r="G18" s="38">
        <v>4</v>
      </c>
      <c r="H18" s="38"/>
      <c r="I18" s="38">
        <f t="shared" si="0"/>
        <v>26488</v>
      </c>
      <c r="J18" s="39"/>
    </row>
    <row r="19" spans="1:10" ht="15.75">
      <c r="A19" s="8"/>
      <c r="B19" s="37"/>
      <c r="C19" s="20" t="s">
        <v>187</v>
      </c>
      <c r="D19" s="187" t="s">
        <v>180</v>
      </c>
      <c r="E19" s="188"/>
      <c r="F19" s="188"/>
      <c r="G19" s="38">
        <v>4</v>
      </c>
      <c r="H19" s="38"/>
      <c r="I19" s="38">
        <f t="shared" si="0"/>
        <v>26492</v>
      </c>
      <c r="J19" s="39"/>
    </row>
    <row r="20" spans="1:10" ht="15.75">
      <c r="A20" s="8"/>
      <c r="B20" s="37"/>
      <c r="C20" s="20" t="s">
        <v>188</v>
      </c>
      <c r="D20" s="187" t="s">
        <v>180</v>
      </c>
      <c r="E20" s="188"/>
      <c r="F20" s="188"/>
      <c r="G20" s="38">
        <v>4</v>
      </c>
      <c r="H20" s="38"/>
      <c r="I20" s="38">
        <f t="shared" si="0"/>
        <v>26496</v>
      </c>
      <c r="J20" s="39"/>
    </row>
    <row r="21" spans="1:10" ht="15.75">
      <c r="A21" s="8"/>
      <c r="B21" s="37"/>
      <c r="C21" s="20" t="s">
        <v>189</v>
      </c>
      <c r="D21" s="187" t="s">
        <v>180</v>
      </c>
      <c r="E21" s="188"/>
      <c r="F21" s="188"/>
      <c r="G21" s="38">
        <v>5</v>
      </c>
      <c r="H21" s="38"/>
      <c r="I21" s="38">
        <f t="shared" si="0"/>
        <v>26501</v>
      </c>
      <c r="J21" s="39"/>
    </row>
    <row r="22" spans="1:10" ht="15.75">
      <c r="A22" s="8"/>
      <c r="B22" s="37"/>
      <c r="C22" s="72" t="s">
        <v>190</v>
      </c>
      <c r="D22" s="187" t="s">
        <v>180</v>
      </c>
      <c r="E22" s="188"/>
      <c r="F22" s="188"/>
      <c r="G22" s="38">
        <v>4</v>
      </c>
      <c r="H22" s="38"/>
      <c r="I22" s="38">
        <f t="shared" si="0"/>
        <v>26505</v>
      </c>
      <c r="J22" s="39"/>
    </row>
    <row r="23" spans="1:10" ht="15.75">
      <c r="A23" s="8"/>
      <c r="B23" s="37"/>
      <c r="C23" s="72" t="s">
        <v>191</v>
      </c>
      <c r="D23" s="187" t="s">
        <v>180</v>
      </c>
      <c r="E23" s="188"/>
      <c r="F23" s="188"/>
      <c r="G23" s="38">
        <v>5</v>
      </c>
      <c r="H23" s="38"/>
      <c r="I23" s="38">
        <f t="shared" si="0"/>
        <v>26510</v>
      </c>
      <c r="J23" s="39"/>
    </row>
    <row r="24" spans="1:10">
      <c r="A24" s="8"/>
      <c r="B24" s="37"/>
      <c r="C24" s="37"/>
      <c r="D24" s="189"/>
      <c r="E24" s="190"/>
      <c r="F24" s="191"/>
      <c r="G24" s="38"/>
      <c r="H24" s="38"/>
      <c r="I24" s="38"/>
      <c r="J24" s="39"/>
    </row>
    <row r="25" spans="1:10">
      <c r="A25" s="8"/>
      <c r="B25" s="8"/>
      <c r="C25" s="39"/>
      <c r="D25" s="39"/>
      <c r="E25" s="39"/>
      <c r="F25" s="74" t="s">
        <v>91</v>
      </c>
      <c r="G25" s="36">
        <f>SUM(G12:G24)</f>
        <v>50</v>
      </c>
      <c r="H25" s="36"/>
      <c r="I25" s="36"/>
      <c r="J25" s="39"/>
    </row>
    <row r="26" spans="1:10">
      <c r="A26" s="192" t="s">
        <v>176</v>
      </c>
      <c r="B26" s="192"/>
      <c r="C26" s="192"/>
      <c r="D26" s="192"/>
      <c r="E26" s="192"/>
      <c r="F26" s="192"/>
      <c r="G26" s="36"/>
      <c r="H26" s="36"/>
      <c r="I26" s="36">
        <f>+I23</f>
        <v>26510</v>
      </c>
      <c r="J26" s="39"/>
    </row>
    <row r="27" spans="1:10">
      <c r="A27" s="15"/>
      <c r="B27" s="15"/>
      <c r="C27" s="15"/>
      <c r="D27" s="15"/>
      <c r="E27" s="15"/>
      <c r="F27" s="15"/>
      <c r="G27" s="15"/>
      <c r="H27" s="15"/>
      <c r="I27" s="15"/>
    </row>
    <row r="28" spans="1:10">
      <c r="A28" s="15"/>
      <c r="B28" s="15"/>
      <c r="C28" s="15"/>
      <c r="D28" s="15"/>
      <c r="E28" s="15"/>
      <c r="H28" s="40" t="s">
        <v>192</v>
      </c>
      <c r="I28" s="15"/>
      <c r="J28" s="15"/>
    </row>
    <row r="29" spans="1:10">
      <c r="A29" s="15"/>
      <c r="B29" s="15" t="s">
        <v>77</v>
      </c>
      <c r="C29" s="15"/>
      <c r="D29" s="186" t="s">
        <v>78</v>
      </c>
      <c r="E29" s="186"/>
      <c r="F29" s="15"/>
      <c r="H29" s="15" t="s">
        <v>79</v>
      </c>
      <c r="I29" s="15"/>
      <c r="J29" s="15"/>
    </row>
    <row r="30" spans="1:10">
      <c r="A30" s="15"/>
      <c r="B30" s="15" t="s">
        <v>80</v>
      </c>
      <c r="C30" s="15"/>
      <c r="D30" s="186" t="s">
        <v>80</v>
      </c>
      <c r="E30" s="186"/>
      <c r="H30" s="40" t="s">
        <v>81</v>
      </c>
      <c r="I30" s="15"/>
      <c r="J30" s="15"/>
    </row>
    <row r="31" spans="1:10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spans="1:10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spans="1:10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spans="1:10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spans="1:10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spans="1:10">
      <c r="A36" s="15"/>
      <c r="B36" s="15"/>
      <c r="C36" s="15"/>
      <c r="D36" s="186" t="s">
        <v>173</v>
      </c>
      <c r="E36" s="186"/>
      <c r="F36" s="15"/>
      <c r="G36" s="186" t="s">
        <v>172</v>
      </c>
      <c r="H36" s="186"/>
      <c r="I36" s="186"/>
      <c r="J36" s="15"/>
    </row>
    <row r="37" spans="1:10">
      <c r="A37" s="15"/>
      <c r="B37" s="15"/>
      <c r="C37" s="15"/>
      <c r="D37" s="15"/>
      <c r="E37" s="15"/>
      <c r="F37" s="15"/>
      <c r="G37" s="15"/>
      <c r="H37" s="15"/>
      <c r="I37" s="15"/>
      <c r="J37" s="15"/>
    </row>
  </sheetData>
  <mergeCells count="27">
    <mergeCell ref="A5:J5"/>
    <mergeCell ref="A6:J6"/>
    <mergeCell ref="A8:A9"/>
    <mergeCell ref="B8:C8"/>
    <mergeCell ref="D8:F9"/>
    <mergeCell ref="G8:I8"/>
    <mergeCell ref="J8:J9"/>
    <mergeCell ref="D21:F21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36:E36"/>
    <mergeCell ref="G36:I36"/>
    <mergeCell ref="D22:F22"/>
    <mergeCell ref="D23:F23"/>
    <mergeCell ref="D24:F24"/>
    <mergeCell ref="A26:F26"/>
    <mergeCell ref="D29:E29"/>
    <mergeCell ref="D30:E30"/>
  </mergeCells>
  <printOptions horizontalCentered="1"/>
  <pageMargins left="0" right="0" top="0" bottom="0" header="0.31496062992125984" footer="0.31496062992125984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54"/>
  <sheetViews>
    <sheetView topLeftCell="A11" workbookViewId="0">
      <selection activeCell="E26" sqref="E26"/>
    </sheetView>
  </sheetViews>
  <sheetFormatPr defaultRowHeight="15"/>
  <cols>
    <col min="1" max="1" width="5.7109375" customWidth="1"/>
    <col min="2" max="2" width="49.7109375" customWidth="1"/>
    <col min="3" max="3" width="8.28515625" customWidth="1"/>
    <col min="4" max="4" width="8.140625" customWidth="1"/>
    <col min="5" max="5" width="20.42578125" style="48" customWidth="1"/>
    <col min="6" max="6" width="9.140625" style="48"/>
  </cols>
  <sheetData>
    <row r="1" spans="1:6">
      <c r="A1" t="s">
        <v>107</v>
      </c>
      <c r="E1" s="47" t="s">
        <v>0</v>
      </c>
    </row>
    <row r="2" spans="1:6">
      <c r="A2" t="s">
        <v>115</v>
      </c>
      <c r="E2" s="47" t="s">
        <v>1</v>
      </c>
    </row>
    <row r="3" spans="1:6">
      <c r="A3" t="s">
        <v>175</v>
      </c>
      <c r="E3" s="47" t="s">
        <v>103</v>
      </c>
    </row>
    <row r="4" spans="1:6" ht="24" customHeight="1">
      <c r="A4" s="174" t="s">
        <v>2</v>
      </c>
      <c r="B4" s="174"/>
      <c r="C4" s="174"/>
      <c r="D4" s="174"/>
      <c r="E4" s="174"/>
      <c r="F4" s="174"/>
    </row>
    <row r="5" spans="1:6" ht="18.75">
      <c r="A5" s="175" t="s">
        <v>215</v>
      </c>
      <c r="B5" s="175"/>
      <c r="C5" s="175"/>
      <c r="D5" s="175"/>
      <c r="E5" s="175"/>
      <c r="F5" s="175"/>
    </row>
    <row r="6" spans="1:6">
      <c r="A6" s="6" t="s">
        <v>3</v>
      </c>
    </row>
    <row r="7" spans="1:6">
      <c r="A7" t="s">
        <v>116</v>
      </c>
      <c r="C7" t="s">
        <v>119</v>
      </c>
    </row>
    <row r="8" spans="1:6">
      <c r="A8" t="s">
        <v>117</v>
      </c>
      <c r="C8" t="s">
        <v>120</v>
      </c>
    </row>
    <row r="9" spans="1:6">
      <c r="A9" t="s">
        <v>118</v>
      </c>
    </row>
    <row r="10" spans="1:6" ht="21" customHeight="1">
      <c r="A10" s="12" t="s">
        <v>5</v>
      </c>
      <c r="B10" s="11"/>
      <c r="C10" t="s">
        <v>6</v>
      </c>
      <c r="D10" t="s">
        <v>4</v>
      </c>
      <c r="F10" s="49" t="s">
        <v>7</v>
      </c>
    </row>
    <row r="11" spans="1:6" ht="57" customHeight="1">
      <c r="A11" s="5" t="s">
        <v>8</v>
      </c>
      <c r="B11" s="5" t="s">
        <v>9</v>
      </c>
      <c r="C11" s="5" t="s">
        <v>24</v>
      </c>
      <c r="D11" s="5" t="s">
        <v>10</v>
      </c>
      <c r="E11" s="50" t="s">
        <v>11</v>
      </c>
      <c r="F11" s="50" t="s">
        <v>12</v>
      </c>
    </row>
    <row r="12" spans="1:6" ht="14.45" customHeight="1">
      <c r="A12" s="3" t="s">
        <v>25</v>
      </c>
      <c r="B12" s="7" t="s">
        <v>49</v>
      </c>
      <c r="C12" s="13">
        <v>10</v>
      </c>
      <c r="D12" s="2"/>
      <c r="E12" s="61">
        <v>11175710</v>
      </c>
      <c r="F12" s="51"/>
    </row>
    <row r="13" spans="1:6" ht="14.45" customHeight="1">
      <c r="A13" s="3" t="s">
        <v>26</v>
      </c>
      <c r="B13" s="7" t="s">
        <v>20</v>
      </c>
      <c r="C13" s="13"/>
      <c r="D13" s="2"/>
      <c r="E13" s="51"/>
      <c r="F13" s="51"/>
    </row>
    <row r="14" spans="1:6" ht="14.45" customHeight="1">
      <c r="A14" s="4" t="s">
        <v>27</v>
      </c>
      <c r="B14" s="8" t="s">
        <v>22</v>
      </c>
      <c r="C14" s="14">
        <v>22</v>
      </c>
      <c r="D14" s="2"/>
      <c r="E14" s="54">
        <v>3605400</v>
      </c>
      <c r="F14" s="51"/>
    </row>
    <row r="15" spans="1:6" ht="14.45" customHeight="1">
      <c r="A15" s="4" t="s">
        <v>28</v>
      </c>
      <c r="B15" s="8" t="s">
        <v>21</v>
      </c>
      <c r="C15" s="14">
        <v>23</v>
      </c>
      <c r="D15" s="2"/>
      <c r="E15" s="51"/>
      <c r="F15" s="51"/>
    </row>
    <row r="16" spans="1:6" ht="14.45" customHeight="1">
      <c r="A16" s="4" t="s">
        <v>29</v>
      </c>
      <c r="B16" s="8" t="s">
        <v>23</v>
      </c>
      <c r="C16" s="14">
        <v>24</v>
      </c>
      <c r="D16" s="2"/>
      <c r="E16" s="51"/>
      <c r="F16" s="51"/>
    </row>
    <row r="17" spans="1:6" ht="14.45" customHeight="1">
      <c r="A17" s="3" t="s">
        <v>30</v>
      </c>
      <c r="B17" s="7" t="s">
        <v>50</v>
      </c>
      <c r="C17" s="13">
        <v>25</v>
      </c>
      <c r="D17" s="2"/>
      <c r="E17" s="51"/>
      <c r="F17" s="51"/>
    </row>
    <row r="18" spans="1:6" ht="14.45" customHeight="1">
      <c r="A18" s="4"/>
      <c r="B18" s="8" t="s">
        <v>51</v>
      </c>
      <c r="C18" s="14" t="s">
        <v>60</v>
      </c>
      <c r="D18" s="2"/>
      <c r="E18" s="51"/>
      <c r="F18" s="51"/>
    </row>
    <row r="19" spans="1:6" ht="14.45" customHeight="1">
      <c r="A19" s="4"/>
      <c r="B19" s="8" t="s">
        <v>52</v>
      </c>
      <c r="C19" s="14" t="s">
        <v>61</v>
      </c>
      <c r="D19" s="2"/>
      <c r="E19" s="51">
        <v>27</v>
      </c>
      <c r="F19" s="51"/>
    </row>
    <row r="20" spans="1:6" ht="14.45" customHeight="1">
      <c r="A20" s="4"/>
      <c r="B20" s="7" t="s">
        <v>67</v>
      </c>
      <c r="C20" s="13"/>
      <c r="D20" s="2"/>
      <c r="E20" s="53">
        <f>SUM(E14:E19)</f>
        <v>3605427</v>
      </c>
      <c r="F20" s="51"/>
    </row>
    <row r="21" spans="1:6" ht="14.45" customHeight="1">
      <c r="A21" s="3" t="s">
        <v>31</v>
      </c>
      <c r="B21" s="7" t="s">
        <v>46</v>
      </c>
      <c r="C21" s="13">
        <v>28</v>
      </c>
      <c r="D21" s="2"/>
      <c r="E21" s="51"/>
      <c r="F21" s="51"/>
    </row>
    <row r="22" spans="1:6" ht="14.45" customHeight="1">
      <c r="A22" s="4"/>
      <c r="B22" s="9" t="s">
        <v>13</v>
      </c>
      <c r="C22" s="14" t="s">
        <v>62</v>
      </c>
      <c r="D22" s="2"/>
      <c r="E22" s="51"/>
      <c r="F22" s="51"/>
    </row>
    <row r="23" spans="1:6" ht="14.45" customHeight="1">
      <c r="A23" s="4"/>
      <c r="B23" s="9" t="s">
        <v>53</v>
      </c>
      <c r="C23" s="14" t="s">
        <v>63</v>
      </c>
      <c r="D23" s="2"/>
      <c r="E23" s="51"/>
      <c r="F23" s="51"/>
    </row>
    <row r="24" spans="1:6" ht="14.45" customHeight="1">
      <c r="A24" s="4" t="s">
        <v>32</v>
      </c>
      <c r="B24" s="8" t="s">
        <v>54</v>
      </c>
      <c r="C24" s="14">
        <v>40</v>
      </c>
      <c r="D24" s="2"/>
      <c r="E24" s="51"/>
      <c r="F24" s="51"/>
    </row>
    <row r="25" spans="1:6" ht="14.45" customHeight="1">
      <c r="A25" s="4" t="s">
        <v>108</v>
      </c>
      <c r="B25" s="2" t="s">
        <v>109</v>
      </c>
      <c r="C25" s="14">
        <v>47</v>
      </c>
      <c r="E25" s="51"/>
      <c r="F25" s="51"/>
    </row>
    <row r="26" spans="1:6" ht="14.45" customHeight="1">
      <c r="A26" s="3"/>
      <c r="B26" s="7" t="s">
        <v>55</v>
      </c>
      <c r="C26" s="13"/>
      <c r="D26" s="2"/>
      <c r="E26" s="53">
        <f>SUM(E20:E25)</f>
        <v>3605427</v>
      </c>
      <c r="F26" s="51"/>
    </row>
    <row r="27" spans="1:6" ht="14.45" customHeight="1">
      <c r="A27" s="3" t="s">
        <v>33</v>
      </c>
      <c r="B27" s="7" t="s">
        <v>56</v>
      </c>
      <c r="C27" s="13"/>
      <c r="D27" s="2"/>
      <c r="E27" s="51"/>
      <c r="F27" s="51"/>
    </row>
    <row r="28" spans="1:6" ht="14.45" customHeight="1">
      <c r="A28" s="4" t="s">
        <v>34</v>
      </c>
      <c r="B28" s="9" t="s">
        <v>57</v>
      </c>
      <c r="C28" s="14">
        <v>31</v>
      </c>
      <c r="D28" s="2"/>
      <c r="E28" s="51">
        <v>9800000</v>
      </c>
      <c r="F28" s="51"/>
    </row>
    <row r="29" spans="1:6" ht="14.45" customHeight="1">
      <c r="A29" s="4" t="s">
        <v>35</v>
      </c>
      <c r="B29" s="9" t="s">
        <v>14</v>
      </c>
      <c r="C29" s="14">
        <v>32</v>
      </c>
      <c r="D29" s="2"/>
      <c r="E29" s="51"/>
      <c r="F29" s="51"/>
    </row>
    <row r="30" spans="1:6" ht="14.45" customHeight="1">
      <c r="A30" s="4" t="s">
        <v>36</v>
      </c>
      <c r="B30" s="8" t="s">
        <v>58</v>
      </c>
      <c r="C30" s="14">
        <v>33</v>
      </c>
      <c r="D30" s="2"/>
      <c r="E30" s="51">
        <v>675000</v>
      </c>
      <c r="F30" s="51"/>
    </row>
    <row r="31" spans="1:6" s="45" customFormat="1" ht="14.45" customHeight="1">
      <c r="A31" s="41" t="s">
        <v>37</v>
      </c>
      <c r="B31" s="42" t="s">
        <v>43</v>
      </c>
      <c r="C31" s="43">
        <v>34</v>
      </c>
      <c r="D31" s="44"/>
      <c r="E31" s="52"/>
      <c r="F31" s="52"/>
    </row>
    <row r="32" spans="1:6" ht="14.45" customHeight="1">
      <c r="A32" s="4"/>
      <c r="B32" s="9" t="s">
        <v>59</v>
      </c>
      <c r="C32" s="14" t="s">
        <v>64</v>
      </c>
      <c r="D32" s="2"/>
      <c r="E32" s="51">
        <v>0</v>
      </c>
      <c r="F32" s="51"/>
    </row>
    <row r="33" spans="1:7" ht="14.45" customHeight="1">
      <c r="A33" s="4"/>
      <c r="B33" s="8" t="s">
        <v>15</v>
      </c>
      <c r="C33" s="14" t="s">
        <v>65</v>
      </c>
      <c r="D33" s="2"/>
      <c r="E33" s="51"/>
      <c r="F33" s="51"/>
    </row>
    <row r="34" spans="1:7" ht="14.45" customHeight="1">
      <c r="A34" s="4"/>
      <c r="B34" s="8" t="s">
        <v>16</v>
      </c>
      <c r="C34" s="14" t="s">
        <v>66</v>
      </c>
      <c r="D34" s="2"/>
      <c r="E34" s="51"/>
      <c r="F34" s="51"/>
    </row>
    <row r="35" spans="1:7" ht="14.45" customHeight="1">
      <c r="A35" s="4" t="s">
        <v>38</v>
      </c>
      <c r="B35" s="8" t="s">
        <v>17</v>
      </c>
      <c r="C35" s="14">
        <v>37</v>
      </c>
      <c r="D35" s="2"/>
      <c r="E35" s="51"/>
      <c r="F35" s="51"/>
    </row>
    <row r="36" spans="1:7" ht="14.45" customHeight="1">
      <c r="A36" s="4"/>
      <c r="B36" s="7" t="s">
        <v>42</v>
      </c>
      <c r="C36" s="13"/>
      <c r="D36" s="2"/>
      <c r="E36" s="53">
        <f>SUM(E28:E35)</f>
        <v>10475000</v>
      </c>
      <c r="F36" s="51"/>
    </row>
    <row r="37" spans="1:7" ht="14.45" customHeight="1">
      <c r="A37" s="4" t="s">
        <v>39</v>
      </c>
      <c r="B37" s="8" t="s">
        <v>106</v>
      </c>
      <c r="C37" s="14">
        <v>39</v>
      </c>
      <c r="D37" s="2"/>
      <c r="E37" s="54"/>
      <c r="F37" s="51"/>
    </row>
    <row r="38" spans="1:7" ht="14.45" customHeight="1">
      <c r="A38" s="4" t="s">
        <v>40</v>
      </c>
      <c r="B38" s="8" t="s">
        <v>47</v>
      </c>
      <c r="C38" s="14">
        <v>42</v>
      </c>
      <c r="D38" s="2"/>
      <c r="E38" s="51"/>
      <c r="F38" s="51"/>
    </row>
    <row r="39" spans="1:7" ht="14.45" customHeight="1">
      <c r="A39" s="4" t="s">
        <v>111</v>
      </c>
      <c r="B39" s="8" t="s">
        <v>110</v>
      </c>
      <c r="C39" s="14">
        <v>48</v>
      </c>
      <c r="D39" s="2"/>
      <c r="E39" s="51"/>
      <c r="F39" s="51"/>
    </row>
    <row r="40" spans="1:7" ht="14.45" customHeight="1">
      <c r="A40" s="3"/>
      <c r="B40" s="7" t="s">
        <v>48</v>
      </c>
      <c r="C40" s="14"/>
      <c r="D40" s="2"/>
      <c r="E40" s="53">
        <f>+E36+E37</f>
        <v>10475000</v>
      </c>
      <c r="F40" s="51"/>
    </row>
    <row r="41" spans="1:7" ht="14.45" customHeight="1">
      <c r="A41" s="3" t="s">
        <v>112</v>
      </c>
      <c r="B41" s="10" t="s">
        <v>44</v>
      </c>
      <c r="C41" s="13">
        <v>50</v>
      </c>
      <c r="D41" s="2"/>
      <c r="E41" s="51">
        <f>+E12+E26-E40</f>
        <v>4306137</v>
      </c>
      <c r="F41" s="51"/>
      <c r="G41" s="73"/>
    </row>
    <row r="42" spans="1:7" ht="30" customHeight="1">
      <c r="A42" s="3" t="s">
        <v>41</v>
      </c>
      <c r="B42" s="10" t="s">
        <v>18</v>
      </c>
      <c r="C42" s="35">
        <v>60</v>
      </c>
      <c r="D42" s="2"/>
      <c r="E42" s="51"/>
      <c r="F42" s="51"/>
    </row>
    <row r="43" spans="1:7" ht="28.9" customHeight="1">
      <c r="A43" s="6" t="s">
        <v>19</v>
      </c>
    </row>
    <row r="46" spans="1:7">
      <c r="C46" s="176" t="s">
        <v>105</v>
      </c>
      <c r="D46" s="176"/>
      <c r="E46" s="176"/>
      <c r="F46" s="176"/>
    </row>
    <row r="47" spans="1:7">
      <c r="C47" s="176" t="s">
        <v>101</v>
      </c>
      <c r="D47" s="176"/>
      <c r="E47" s="176"/>
      <c r="F47" s="176"/>
    </row>
    <row r="48" spans="1:7">
      <c r="B48" s="6" t="s">
        <v>45</v>
      </c>
      <c r="C48" s="176" t="s">
        <v>102</v>
      </c>
      <c r="D48" s="176"/>
      <c r="E48" s="176"/>
      <c r="F48" s="176"/>
    </row>
    <row r="54" spans="1:5">
      <c r="A54" s="173" t="s">
        <v>174</v>
      </c>
      <c r="B54" s="173"/>
      <c r="D54" s="172" t="s">
        <v>172</v>
      </c>
      <c r="E54" s="172"/>
    </row>
  </sheetData>
  <mergeCells count="7">
    <mergeCell ref="A54:B54"/>
    <mergeCell ref="D54:E54"/>
    <mergeCell ref="A4:F4"/>
    <mergeCell ref="A5:F5"/>
    <mergeCell ref="C46:F46"/>
    <mergeCell ref="C47:F47"/>
    <mergeCell ref="C48:F48"/>
  </mergeCells>
  <printOptions horizontalCentered="1"/>
  <pageMargins left="0" right="0" top="0" bottom="0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39"/>
  <sheetViews>
    <sheetView workbookViewId="0">
      <selection activeCell="H16" sqref="H16"/>
    </sheetView>
  </sheetViews>
  <sheetFormatPr defaultRowHeight="15"/>
  <cols>
    <col min="1" max="1" width="11.28515625" customWidth="1"/>
    <col min="2" max="2" width="10.85546875" customWidth="1"/>
    <col min="3" max="3" width="12.7109375" customWidth="1"/>
    <col min="4" max="4" width="43.28515625" customWidth="1"/>
    <col min="5" max="6" width="12.85546875" style="1" customWidth="1"/>
    <col min="7" max="7" width="13.28515625" customWidth="1"/>
    <col min="8" max="8" width="12" customWidth="1"/>
    <col min="257" max="257" width="14.28515625" customWidth="1"/>
    <col min="260" max="260" width="64" customWidth="1"/>
    <col min="261" max="263" width="14.7109375" customWidth="1"/>
    <col min="264" max="264" width="13.7109375" customWidth="1"/>
    <col min="513" max="513" width="14.28515625" customWidth="1"/>
    <col min="516" max="516" width="64" customWidth="1"/>
    <col min="517" max="519" width="14.7109375" customWidth="1"/>
    <col min="520" max="520" width="13.7109375" customWidth="1"/>
    <col min="769" max="769" width="14.28515625" customWidth="1"/>
    <col min="772" max="772" width="64" customWidth="1"/>
    <col min="773" max="775" width="14.7109375" customWidth="1"/>
    <col min="776" max="776" width="13.7109375" customWidth="1"/>
    <col min="1025" max="1025" width="14.28515625" customWidth="1"/>
    <col min="1028" max="1028" width="64" customWidth="1"/>
    <col min="1029" max="1031" width="14.7109375" customWidth="1"/>
    <col min="1032" max="1032" width="13.7109375" customWidth="1"/>
    <col min="1281" max="1281" width="14.28515625" customWidth="1"/>
    <col min="1284" max="1284" width="64" customWidth="1"/>
    <col min="1285" max="1287" width="14.7109375" customWidth="1"/>
    <col min="1288" max="1288" width="13.7109375" customWidth="1"/>
    <col min="1537" max="1537" width="14.28515625" customWidth="1"/>
    <col min="1540" max="1540" width="64" customWidth="1"/>
    <col min="1541" max="1543" width="14.7109375" customWidth="1"/>
    <col min="1544" max="1544" width="13.7109375" customWidth="1"/>
    <col min="1793" max="1793" width="14.28515625" customWidth="1"/>
    <col min="1796" max="1796" width="64" customWidth="1"/>
    <col min="1797" max="1799" width="14.7109375" customWidth="1"/>
    <col min="1800" max="1800" width="13.7109375" customWidth="1"/>
    <col min="2049" max="2049" width="14.28515625" customWidth="1"/>
    <col min="2052" max="2052" width="64" customWidth="1"/>
    <col min="2053" max="2055" width="14.7109375" customWidth="1"/>
    <col min="2056" max="2056" width="13.7109375" customWidth="1"/>
    <col min="2305" max="2305" width="14.28515625" customWidth="1"/>
    <col min="2308" max="2308" width="64" customWidth="1"/>
    <col min="2309" max="2311" width="14.7109375" customWidth="1"/>
    <col min="2312" max="2312" width="13.7109375" customWidth="1"/>
    <col min="2561" max="2561" width="14.28515625" customWidth="1"/>
    <col min="2564" max="2564" width="64" customWidth="1"/>
    <col min="2565" max="2567" width="14.7109375" customWidth="1"/>
    <col min="2568" max="2568" width="13.7109375" customWidth="1"/>
    <col min="2817" max="2817" width="14.28515625" customWidth="1"/>
    <col min="2820" max="2820" width="64" customWidth="1"/>
    <col min="2821" max="2823" width="14.7109375" customWidth="1"/>
    <col min="2824" max="2824" width="13.7109375" customWidth="1"/>
    <col min="3073" max="3073" width="14.28515625" customWidth="1"/>
    <col min="3076" max="3076" width="64" customWidth="1"/>
    <col min="3077" max="3079" width="14.7109375" customWidth="1"/>
    <col min="3080" max="3080" width="13.7109375" customWidth="1"/>
    <col min="3329" max="3329" width="14.28515625" customWidth="1"/>
    <col min="3332" max="3332" width="64" customWidth="1"/>
    <col min="3333" max="3335" width="14.7109375" customWidth="1"/>
    <col min="3336" max="3336" width="13.7109375" customWidth="1"/>
    <col min="3585" max="3585" width="14.28515625" customWidth="1"/>
    <col min="3588" max="3588" width="64" customWidth="1"/>
    <col min="3589" max="3591" width="14.7109375" customWidth="1"/>
    <col min="3592" max="3592" width="13.7109375" customWidth="1"/>
    <col min="3841" max="3841" width="14.28515625" customWidth="1"/>
    <col min="3844" max="3844" width="64" customWidth="1"/>
    <col min="3845" max="3847" width="14.7109375" customWidth="1"/>
    <col min="3848" max="3848" width="13.7109375" customWidth="1"/>
    <col min="4097" max="4097" width="14.28515625" customWidth="1"/>
    <col min="4100" max="4100" width="64" customWidth="1"/>
    <col min="4101" max="4103" width="14.7109375" customWidth="1"/>
    <col min="4104" max="4104" width="13.7109375" customWidth="1"/>
    <col min="4353" max="4353" width="14.28515625" customWidth="1"/>
    <col min="4356" max="4356" width="64" customWidth="1"/>
    <col min="4357" max="4359" width="14.7109375" customWidth="1"/>
    <col min="4360" max="4360" width="13.7109375" customWidth="1"/>
    <col min="4609" max="4609" width="14.28515625" customWidth="1"/>
    <col min="4612" max="4612" width="64" customWidth="1"/>
    <col min="4613" max="4615" width="14.7109375" customWidth="1"/>
    <col min="4616" max="4616" width="13.7109375" customWidth="1"/>
    <col min="4865" max="4865" width="14.28515625" customWidth="1"/>
    <col min="4868" max="4868" width="64" customWidth="1"/>
    <col min="4869" max="4871" width="14.7109375" customWidth="1"/>
    <col min="4872" max="4872" width="13.7109375" customWidth="1"/>
    <col min="5121" max="5121" width="14.28515625" customWidth="1"/>
    <col min="5124" max="5124" width="64" customWidth="1"/>
    <col min="5125" max="5127" width="14.7109375" customWidth="1"/>
    <col min="5128" max="5128" width="13.7109375" customWidth="1"/>
    <col min="5377" max="5377" width="14.28515625" customWidth="1"/>
    <col min="5380" max="5380" width="64" customWidth="1"/>
    <col min="5381" max="5383" width="14.7109375" customWidth="1"/>
    <col min="5384" max="5384" width="13.7109375" customWidth="1"/>
    <col min="5633" max="5633" width="14.28515625" customWidth="1"/>
    <col min="5636" max="5636" width="64" customWidth="1"/>
    <col min="5637" max="5639" width="14.7109375" customWidth="1"/>
    <col min="5640" max="5640" width="13.7109375" customWidth="1"/>
    <col min="5889" max="5889" width="14.28515625" customWidth="1"/>
    <col min="5892" max="5892" width="64" customWidth="1"/>
    <col min="5893" max="5895" width="14.7109375" customWidth="1"/>
    <col min="5896" max="5896" width="13.7109375" customWidth="1"/>
    <col min="6145" max="6145" width="14.28515625" customWidth="1"/>
    <col min="6148" max="6148" width="64" customWidth="1"/>
    <col min="6149" max="6151" width="14.7109375" customWidth="1"/>
    <col min="6152" max="6152" width="13.7109375" customWidth="1"/>
    <col min="6401" max="6401" width="14.28515625" customWidth="1"/>
    <col min="6404" max="6404" width="64" customWidth="1"/>
    <col min="6405" max="6407" width="14.7109375" customWidth="1"/>
    <col min="6408" max="6408" width="13.7109375" customWidth="1"/>
    <col min="6657" max="6657" width="14.28515625" customWidth="1"/>
    <col min="6660" max="6660" width="64" customWidth="1"/>
    <col min="6661" max="6663" width="14.7109375" customWidth="1"/>
    <col min="6664" max="6664" width="13.7109375" customWidth="1"/>
    <col min="6913" max="6913" width="14.28515625" customWidth="1"/>
    <col min="6916" max="6916" width="64" customWidth="1"/>
    <col min="6917" max="6919" width="14.7109375" customWidth="1"/>
    <col min="6920" max="6920" width="13.7109375" customWidth="1"/>
    <col min="7169" max="7169" width="14.28515625" customWidth="1"/>
    <col min="7172" max="7172" width="64" customWidth="1"/>
    <col min="7173" max="7175" width="14.7109375" customWidth="1"/>
    <col min="7176" max="7176" width="13.7109375" customWidth="1"/>
    <col min="7425" max="7425" width="14.28515625" customWidth="1"/>
    <col min="7428" max="7428" width="64" customWidth="1"/>
    <col min="7429" max="7431" width="14.7109375" customWidth="1"/>
    <col min="7432" max="7432" width="13.7109375" customWidth="1"/>
    <col min="7681" max="7681" width="14.28515625" customWidth="1"/>
    <col min="7684" max="7684" width="64" customWidth="1"/>
    <col min="7685" max="7687" width="14.7109375" customWidth="1"/>
    <col min="7688" max="7688" width="13.7109375" customWidth="1"/>
    <col min="7937" max="7937" width="14.28515625" customWidth="1"/>
    <col min="7940" max="7940" width="64" customWidth="1"/>
    <col min="7941" max="7943" width="14.7109375" customWidth="1"/>
    <col min="7944" max="7944" width="13.7109375" customWidth="1"/>
    <col min="8193" max="8193" width="14.28515625" customWidth="1"/>
    <col min="8196" max="8196" width="64" customWidth="1"/>
    <col min="8197" max="8199" width="14.7109375" customWidth="1"/>
    <col min="8200" max="8200" width="13.7109375" customWidth="1"/>
    <col min="8449" max="8449" width="14.28515625" customWidth="1"/>
    <col min="8452" max="8452" width="64" customWidth="1"/>
    <col min="8453" max="8455" width="14.7109375" customWidth="1"/>
    <col min="8456" max="8456" width="13.7109375" customWidth="1"/>
    <col min="8705" max="8705" width="14.28515625" customWidth="1"/>
    <col min="8708" max="8708" width="64" customWidth="1"/>
    <col min="8709" max="8711" width="14.7109375" customWidth="1"/>
    <col min="8712" max="8712" width="13.7109375" customWidth="1"/>
    <col min="8961" max="8961" width="14.28515625" customWidth="1"/>
    <col min="8964" max="8964" width="64" customWidth="1"/>
    <col min="8965" max="8967" width="14.7109375" customWidth="1"/>
    <col min="8968" max="8968" width="13.7109375" customWidth="1"/>
    <col min="9217" max="9217" width="14.28515625" customWidth="1"/>
    <col min="9220" max="9220" width="64" customWidth="1"/>
    <col min="9221" max="9223" width="14.7109375" customWidth="1"/>
    <col min="9224" max="9224" width="13.7109375" customWidth="1"/>
    <col min="9473" max="9473" width="14.28515625" customWidth="1"/>
    <col min="9476" max="9476" width="64" customWidth="1"/>
    <col min="9477" max="9479" width="14.7109375" customWidth="1"/>
    <col min="9480" max="9480" width="13.7109375" customWidth="1"/>
    <col min="9729" max="9729" width="14.28515625" customWidth="1"/>
    <col min="9732" max="9732" width="64" customWidth="1"/>
    <col min="9733" max="9735" width="14.7109375" customWidth="1"/>
    <col min="9736" max="9736" width="13.7109375" customWidth="1"/>
    <col min="9985" max="9985" width="14.28515625" customWidth="1"/>
    <col min="9988" max="9988" width="64" customWidth="1"/>
    <col min="9989" max="9991" width="14.7109375" customWidth="1"/>
    <col min="9992" max="9992" width="13.7109375" customWidth="1"/>
    <col min="10241" max="10241" width="14.28515625" customWidth="1"/>
    <col min="10244" max="10244" width="64" customWidth="1"/>
    <col min="10245" max="10247" width="14.7109375" customWidth="1"/>
    <col min="10248" max="10248" width="13.7109375" customWidth="1"/>
    <col min="10497" max="10497" width="14.28515625" customWidth="1"/>
    <col min="10500" max="10500" width="64" customWidth="1"/>
    <col min="10501" max="10503" width="14.7109375" customWidth="1"/>
    <col min="10504" max="10504" width="13.7109375" customWidth="1"/>
    <col min="10753" max="10753" width="14.28515625" customWidth="1"/>
    <col min="10756" max="10756" width="64" customWidth="1"/>
    <col min="10757" max="10759" width="14.7109375" customWidth="1"/>
    <col min="10760" max="10760" width="13.7109375" customWidth="1"/>
    <col min="11009" max="11009" width="14.28515625" customWidth="1"/>
    <col min="11012" max="11012" width="64" customWidth="1"/>
    <col min="11013" max="11015" width="14.7109375" customWidth="1"/>
    <col min="11016" max="11016" width="13.7109375" customWidth="1"/>
    <col min="11265" max="11265" width="14.28515625" customWidth="1"/>
    <col min="11268" max="11268" width="64" customWidth="1"/>
    <col min="11269" max="11271" width="14.7109375" customWidth="1"/>
    <col min="11272" max="11272" width="13.7109375" customWidth="1"/>
    <col min="11521" max="11521" width="14.28515625" customWidth="1"/>
    <col min="11524" max="11524" width="64" customWidth="1"/>
    <col min="11525" max="11527" width="14.7109375" customWidth="1"/>
    <col min="11528" max="11528" width="13.7109375" customWidth="1"/>
    <col min="11777" max="11777" width="14.28515625" customWidth="1"/>
    <col min="11780" max="11780" width="64" customWidth="1"/>
    <col min="11781" max="11783" width="14.7109375" customWidth="1"/>
    <col min="11784" max="11784" width="13.7109375" customWidth="1"/>
    <col min="12033" max="12033" width="14.28515625" customWidth="1"/>
    <col min="12036" max="12036" width="64" customWidth="1"/>
    <col min="12037" max="12039" width="14.7109375" customWidth="1"/>
    <col min="12040" max="12040" width="13.7109375" customWidth="1"/>
    <col min="12289" max="12289" width="14.28515625" customWidth="1"/>
    <col min="12292" max="12292" width="64" customWidth="1"/>
    <col min="12293" max="12295" width="14.7109375" customWidth="1"/>
    <col min="12296" max="12296" width="13.7109375" customWidth="1"/>
    <col min="12545" max="12545" width="14.28515625" customWidth="1"/>
    <col min="12548" max="12548" width="64" customWidth="1"/>
    <col min="12549" max="12551" width="14.7109375" customWidth="1"/>
    <col min="12552" max="12552" width="13.7109375" customWidth="1"/>
    <col min="12801" max="12801" width="14.28515625" customWidth="1"/>
    <col min="12804" max="12804" width="64" customWidth="1"/>
    <col min="12805" max="12807" width="14.7109375" customWidth="1"/>
    <col min="12808" max="12808" width="13.7109375" customWidth="1"/>
    <col min="13057" max="13057" width="14.28515625" customWidth="1"/>
    <col min="13060" max="13060" width="64" customWidth="1"/>
    <col min="13061" max="13063" width="14.7109375" customWidth="1"/>
    <col min="13064" max="13064" width="13.7109375" customWidth="1"/>
    <col min="13313" max="13313" width="14.28515625" customWidth="1"/>
    <col min="13316" max="13316" width="64" customWidth="1"/>
    <col min="13317" max="13319" width="14.7109375" customWidth="1"/>
    <col min="13320" max="13320" width="13.7109375" customWidth="1"/>
    <col min="13569" max="13569" width="14.28515625" customWidth="1"/>
    <col min="13572" max="13572" width="64" customWidth="1"/>
    <col min="13573" max="13575" width="14.7109375" customWidth="1"/>
    <col min="13576" max="13576" width="13.7109375" customWidth="1"/>
    <col min="13825" max="13825" width="14.28515625" customWidth="1"/>
    <col min="13828" max="13828" width="64" customWidth="1"/>
    <col min="13829" max="13831" width="14.7109375" customWidth="1"/>
    <col min="13832" max="13832" width="13.7109375" customWidth="1"/>
    <col min="14081" max="14081" width="14.28515625" customWidth="1"/>
    <col min="14084" max="14084" width="64" customWidth="1"/>
    <col min="14085" max="14087" width="14.7109375" customWidth="1"/>
    <col min="14088" max="14088" width="13.7109375" customWidth="1"/>
    <col min="14337" max="14337" width="14.28515625" customWidth="1"/>
    <col min="14340" max="14340" width="64" customWidth="1"/>
    <col min="14341" max="14343" width="14.7109375" customWidth="1"/>
    <col min="14344" max="14344" width="13.7109375" customWidth="1"/>
    <col min="14593" max="14593" width="14.28515625" customWidth="1"/>
    <col min="14596" max="14596" width="64" customWidth="1"/>
    <col min="14597" max="14599" width="14.7109375" customWidth="1"/>
    <col min="14600" max="14600" width="13.7109375" customWidth="1"/>
    <col min="14849" max="14849" width="14.28515625" customWidth="1"/>
    <col min="14852" max="14852" width="64" customWidth="1"/>
    <col min="14853" max="14855" width="14.7109375" customWidth="1"/>
    <col min="14856" max="14856" width="13.7109375" customWidth="1"/>
    <col min="15105" max="15105" width="14.28515625" customWidth="1"/>
    <col min="15108" max="15108" width="64" customWidth="1"/>
    <col min="15109" max="15111" width="14.7109375" customWidth="1"/>
    <col min="15112" max="15112" width="13.7109375" customWidth="1"/>
    <col min="15361" max="15361" width="14.28515625" customWidth="1"/>
    <col min="15364" max="15364" width="64" customWidth="1"/>
    <col min="15365" max="15367" width="14.7109375" customWidth="1"/>
    <col min="15368" max="15368" width="13.7109375" customWidth="1"/>
    <col min="15617" max="15617" width="14.28515625" customWidth="1"/>
    <col min="15620" max="15620" width="64" customWidth="1"/>
    <col min="15621" max="15623" width="14.7109375" customWidth="1"/>
    <col min="15624" max="15624" width="13.7109375" customWidth="1"/>
    <col min="15873" max="15873" width="14.28515625" customWidth="1"/>
    <col min="15876" max="15876" width="64" customWidth="1"/>
    <col min="15877" max="15879" width="14.7109375" customWidth="1"/>
    <col min="15880" max="15880" width="13.7109375" customWidth="1"/>
    <col min="16129" max="16129" width="14.28515625" customWidth="1"/>
    <col min="16132" max="16132" width="64" customWidth="1"/>
    <col min="16133" max="16135" width="14.7109375" customWidth="1"/>
    <col min="16136" max="16136" width="13.7109375" customWidth="1"/>
  </cols>
  <sheetData>
    <row r="1" spans="1:9" ht="16.5">
      <c r="A1" s="46" t="s">
        <v>107</v>
      </c>
      <c r="B1" s="15"/>
      <c r="C1" s="15"/>
      <c r="D1" s="15"/>
      <c r="E1" s="40"/>
      <c r="F1" s="67" t="s">
        <v>68</v>
      </c>
      <c r="H1" s="16"/>
    </row>
    <row r="2" spans="1:9" ht="16.5">
      <c r="A2" s="30" t="s">
        <v>115</v>
      </c>
      <c r="B2" s="15"/>
      <c r="C2" s="15"/>
      <c r="D2" s="15"/>
      <c r="E2" s="40"/>
      <c r="F2" s="28" t="s">
        <v>88</v>
      </c>
      <c r="H2" s="16"/>
    </row>
    <row r="3" spans="1:9" ht="16.5">
      <c r="A3" s="15"/>
      <c r="B3" s="15"/>
      <c r="C3" s="15"/>
      <c r="D3" s="15"/>
      <c r="E3" s="40"/>
      <c r="F3" s="29" t="s">
        <v>87</v>
      </c>
      <c r="H3" s="16"/>
    </row>
    <row r="4" spans="1:9" ht="27.6" customHeight="1">
      <c r="A4" s="174" t="s">
        <v>69</v>
      </c>
      <c r="B4" s="174"/>
      <c r="C4" s="174"/>
      <c r="D4" s="174"/>
      <c r="E4" s="174"/>
      <c r="F4" s="174"/>
      <c r="G4" s="174"/>
      <c r="H4" s="174"/>
    </row>
    <row r="5" spans="1:9" ht="16.899999999999999" customHeight="1">
      <c r="A5" s="174" t="s">
        <v>215</v>
      </c>
      <c r="B5" s="174"/>
      <c r="C5" s="174"/>
      <c r="D5" s="174"/>
      <c r="E5" s="174"/>
      <c r="F5" s="174"/>
      <c r="G5" s="174"/>
      <c r="H5" s="174"/>
    </row>
    <row r="6" spans="1:9" ht="16.5">
      <c r="A6" s="16"/>
      <c r="B6" s="16"/>
      <c r="C6" s="16"/>
      <c r="D6" s="16"/>
      <c r="E6" s="62"/>
      <c r="F6" s="62"/>
      <c r="G6" s="16"/>
      <c r="H6" s="16"/>
      <c r="I6" s="16"/>
    </row>
    <row r="7" spans="1:9" ht="16.5">
      <c r="A7" s="181" t="s">
        <v>82</v>
      </c>
      <c r="B7" s="181"/>
      <c r="C7" s="181"/>
      <c r="D7" s="179" t="s">
        <v>70</v>
      </c>
      <c r="E7" s="181" t="s">
        <v>71</v>
      </c>
      <c r="F7" s="181"/>
      <c r="G7" s="181"/>
      <c r="H7" s="179" t="s">
        <v>92</v>
      </c>
      <c r="I7" s="16"/>
    </row>
    <row r="8" spans="1:9" ht="16.5">
      <c r="A8" s="18" t="s">
        <v>72</v>
      </c>
      <c r="B8" s="18" t="s">
        <v>73</v>
      </c>
      <c r="C8" s="18" t="s">
        <v>74</v>
      </c>
      <c r="D8" s="180"/>
      <c r="E8" s="18" t="s">
        <v>73</v>
      </c>
      <c r="F8" s="18" t="s">
        <v>74</v>
      </c>
      <c r="G8" s="18" t="s">
        <v>75</v>
      </c>
      <c r="H8" s="180"/>
      <c r="I8" s="16"/>
    </row>
    <row r="9" spans="1:9" ht="16.5">
      <c r="A9" s="18" t="s">
        <v>83</v>
      </c>
      <c r="B9" s="18" t="s">
        <v>84</v>
      </c>
      <c r="C9" s="18" t="s">
        <v>85</v>
      </c>
      <c r="D9" s="18" t="s">
        <v>86</v>
      </c>
      <c r="E9" s="18">
        <v>1</v>
      </c>
      <c r="F9" s="18">
        <v>2</v>
      </c>
      <c r="G9" s="18">
        <v>3</v>
      </c>
      <c r="H9" s="18" t="s">
        <v>93</v>
      </c>
      <c r="I9" s="16"/>
    </row>
    <row r="10" spans="1:9" ht="16.5">
      <c r="A10" s="20"/>
      <c r="B10" s="20"/>
      <c r="C10" s="20"/>
      <c r="D10" s="18" t="s">
        <v>94</v>
      </c>
      <c r="E10" s="26"/>
      <c r="F10" s="26"/>
      <c r="G10" s="19">
        <v>11149200</v>
      </c>
      <c r="H10" s="17"/>
    </row>
    <row r="11" spans="1:9" ht="16.5">
      <c r="A11" s="55">
        <v>45295</v>
      </c>
      <c r="B11" s="56"/>
      <c r="C11" s="56" t="s">
        <v>193</v>
      </c>
      <c r="D11" s="57" t="s">
        <v>194</v>
      </c>
      <c r="E11" s="60"/>
      <c r="F11" s="60">
        <v>300000</v>
      </c>
      <c r="G11" s="60">
        <f>+G10+E11-F11</f>
        <v>10849200</v>
      </c>
      <c r="H11" s="17"/>
    </row>
    <row r="12" spans="1:9" ht="30">
      <c r="A12" s="55">
        <v>45306</v>
      </c>
      <c r="B12" s="56"/>
      <c r="C12" s="56" t="s">
        <v>195</v>
      </c>
      <c r="D12" s="57" t="s">
        <v>150</v>
      </c>
      <c r="E12" s="63"/>
      <c r="F12" s="60">
        <v>200000</v>
      </c>
      <c r="G12" s="60">
        <f t="shared" ref="G12:G26" si="0">+G11+E12-F12</f>
        <v>10649200</v>
      </c>
      <c r="H12" s="17"/>
    </row>
    <row r="13" spans="1:9" ht="18.75" customHeight="1">
      <c r="A13" s="55">
        <v>45313</v>
      </c>
      <c r="B13" s="56"/>
      <c r="C13" s="56" t="s">
        <v>196</v>
      </c>
      <c r="D13" s="57" t="s">
        <v>197</v>
      </c>
      <c r="E13" s="60"/>
      <c r="F13" s="60">
        <v>375000</v>
      </c>
      <c r="G13" s="60">
        <f t="shared" si="0"/>
        <v>10274200</v>
      </c>
      <c r="H13" s="17"/>
    </row>
    <row r="14" spans="1:9" ht="18.75" customHeight="1">
      <c r="A14" s="55">
        <v>45324</v>
      </c>
      <c r="B14" s="56"/>
      <c r="C14" s="56" t="s">
        <v>198</v>
      </c>
      <c r="D14" s="57" t="s">
        <v>149</v>
      </c>
      <c r="E14" s="60"/>
      <c r="F14" s="60">
        <v>5000000</v>
      </c>
      <c r="G14" s="60">
        <f t="shared" si="0"/>
        <v>5274200</v>
      </c>
      <c r="H14" s="17"/>
    </row>
    <row r="15" spans="1:9" ht="18.75" customHeight="1">
      <c r="A15" s="55">
        <v>45359</v>
      </c>
      <c r="B15" s="56"/>
      <c r="C15" s="56" t="s">
        <v>199</v>
      </c>
      <c r="D15" s="57" t="s">
        <v>152</v>
      </c>
      <c r="E15" s="60"/>
      <c r="F15" s="60">
        <v>800000</v>
      </c>
      <c r="G15" s="60">
        <f t="shared" si="0"/>
        <v>4474200</v>
      </c>
      <c r="H15" s="17"/>
    </row>
    <row r="16" spans="1:9" ht="18.75" customHeight="1">
      <c r="A16" s="55">
        <v>45365</v>
      </c>
      <c r="B16" s="56"/>
      <c r="C16" s="56" t="s">
        <v>200</v>
      </c>
      <c r="D16" s="57" t="s">
        <v>201</v>
      </c>
      <c r="E16" s="60"/>
      <c r="F16" s="60">
        <v>200000</v>
      </c>
      <c r="G16" s="60">
        <f t="shared" si="0"/>
        <v>4274200</v>
      </c>
      <c r="H16" s="17"/>
    </row>
    <row r="17" spans="1:8" ht="30">
      <c r="A17" s="55">
        <v>45365</v>
      </c>
      <c r="B17" s="56"/>
      <c r="C17" s="56" t="s">
        <v>202</v>
      </c>
      <c r="D17" s="57" t="s">
        <v>203</v>
      </c>
      <c r="E17" s="60"/>
      <c r="F17" s="60">
        <v>200000</v>
      </c>
      <c r="G17" s="60">
        <f t="shared" si="0"/>
        <v>4074200</v>
      </c>
      <c r="H17" s="17"/>
    </row>
    <row r="18" spans="1:8" ht="18.75" customHeight="1">
      <c r="A18" s="55">
        <v>45385</v>
      </c>
      <c r="B18" s="56"/>
      <c r="C18" s="56" t="s">
        <v>204</v>
      </c>
      <c r="D18" s="57" t="s">
        <v>153</v>
      </c>
      <c r="E18" s="60"/>
      <c r="F18" s="60">
        <v>200000</v>
      </c>
      <c r="G18" s="60">
        <f t="shared" si="0"/>
        <v>3874200</v>
      </c>
      <c r="H18" s="17"/>
    </row>
    <row r="19" spans="1:8" ht="18.75" customHeight="1">
      <c r="A19" s="55">
        <v>45398</v>
      </c>
      <c r="B19" s="56"/>
      <c r="C19" s="56" t="s">
        <v>205</v>
      </c>
      <c r="D19" s="57" t="s">
        <v>154</v>
      </c>
      <c r="E19" s="60"/>
      <c r="F19" s="60">
        <v>200000</v>
      </c>
      <c r="G19" s="60">
        <f t="shared" si="0"/>
        <v>3674200</v>
      </c>
      <c r="H19" s="17"/>
    </row>
    <row r="20" spans="1:8" ht="18.75" customHeight="1">
      <c r="A20" s="55">
        <v>45399</v>
      </c>
      <c r="B20" s="56"/>
      <c r="C20" s="56" t="s">
        <v>206</v>
      </c>
      <c r="D20" s="57" t="s">
        <v>155</v>
      </c>
      <c r="E20" s="60"/>
      <c r="F20" s="60">
        <v>200000</v>
      </c>
      <c r="G20" s="60">
        <f t="shared" si="0"/>
        <v>3474200</v>
      </c>
      <c r="H20" s="17"/>
    </row>
    <row r="21" spans="1:8" ht="18.75" customHeight="1">
      <c r="A21" s="55">
        <v>45409</v>
      </c>
      <c r="B21" s="56"/>
      <c r="C21" s="56" t="s">
        <v>207</v>
      </c>
      <c r="D21" s="57" t="s">
        <v>156</v>
      </c>
      <c r="E21" s="60"/>
      <c r="F21" s="60">
        <v>2000000</v>
      </c>
      <c r="G21" s="60">
        <f t="shared" si="0"/>
        <v>1474200</v>
      </c>
      <c r="H21" s="17"/>
    </row>
    <row r="22" spans="1:8" ht="18.75" customHeight="1">
      <c r="A22" s="55">
        <v>45417</v>
      </c>
      <c r="B22" s="56"/>
      <c r="C22" s="56" t="s">
        <v>208</v>
      </c>
      <c r="D22" s="57" t="s">
        <v>157</v>
      </c>
      <c r="E22" s="63"/>
      <c r="F22" s="60">
        <v>200000</v>
      </c>
      <c r="G22" s="60">
        <f t="shared" si="0"/>
        <v>1274200</v>
      </c>
      <c r="H22" s="17"/>
    </row>
    <row r="23" spans="1:8" ht="18.75" customHeight="1">
      <c r="A23" s="55">
        <v>45422</v>
      </c>
      <c r="B23" s="56"/>
      <c r="C23" s="56" t="s">
        <v>209</v>
      </c>
      <c r="D23" s="57" t="s">
        <v>158</v>
      </c>
      <c r="E23" s="60"/>
      <c r="F23" s="60">
        <v>200000</v>
      </c>
      <c r="G23" s="60">
        <f t="shared" si="0"/>
        <v>1074200</v>
      </c>
      <c r="H23" s="17"/>
    </row>
    <row r="24" spans="1:8" ht="18.75" customHeight="1">
      <c r="A24" s="55">
        <v>45437</v>
      </c>
      <c r="B24" s="56"/>
      <c r="C24" s="56" t="s">
        <v>210</v>
      </c>
      <c r="D24" s="57" t="s">
        <v>159</v>
      </c>
      <c r="E24" s="60"/>
      <c r="F24" s="60">
        <v>200000</v>
      </c>
      <c r="G24" s="60">
        <f t="shared" si="0"/>
        <v>874200</v>
      </c>
      <c r="H24" s="17"/>
    </row>
    <row r="25" spans="1:8" ht="18.75" customHeight="1">
      <c r="A25" s="55">
        <v>45472</v>
      </c>
      <c r="B25" s="56"/>
      <c r="C25" s="56" t="s">
        <v>211</v>
      </c>
      <c r="D25" s="57" t="s">
        <v>160</v>
      </c>
      <c r="E25" s="60"/>
      <c r="F25" s="60">
        <v>200000</v>
      </c>
      <c r="G25" s="60">
        <f t="shared" si="0"/>
        <v>674200</v>
      </c>
      <c r="H25" s="17"/>
    </row>
    <row r="26" spans="1:8" ht="30.75" customHeight="1">
      <c r="A26" s="55">
        <v>45473</v>
      </c>
      <c r="B26" s="56" t="s">
        <v>212</v>
      </c>
      <c r="C26" s="56"/>
      <c r="D26" s="57" t="s">
        <v>213</v>
      </c>
      <c r="E26" s="60">
        <v>3605400</v>
      </c>
      <c r="F26" s="60"/>
      <c r="G26" s="60">
        <f t="shared" si="0"/>
        <v>4279600</v>
      </c>
      <c r="H26" s="17"/>
    </row>
    <row r="27" spans="1:8" ht="16.5">
      <c r="A27" s="25"/>
      <c r="B27" s="27"/>
      <c r="C27" s="26"/>
      <c r="D27" s="22"/>
      <c r="E27" s="64"/>
      <c r="F27" s="64"/>
      <c r="G27" s="23"/>
      <c r="H27" s="17"/>
    </row>
    <row r="28" spans="1:8" ht="15.75">
      <c r="A28" s="182" t="s">
        <v>76</v>
      </c>
      <c r="B28" s="183"/>
      <c r="C28" s="183"/>
      <c r="D28" s="184"/>
      <c r="E28" s="65">
        <f>SUM(E11:E27)</f>
        <v>3605400</v>
      </c>
      <c r="F28" s="65">
        <f>SUM(F11:F27)</f>
        <v>10475000</v>
      </c>
      <c r="G28" s="24"/>
      <c r="H28" s="2"/>
    </row>
    <row r="29" spans="1:8" ht="19.5" customHeight="1">
      <c r="A29" s="185" t="s">
        <v>176</v>
      </c>
      <c r="B29" s="185"/>
      <c r="C29" s="185"/>
      <c r="D29" s="185"/>
      <c r="E29" s="65"/>
      <c r="F29" s="65"/>
      <c r="G29" s="24">
        <f>+G10+E28-F28</f>
        <v>4279600</v>
      </c>
      <c r="H29" s="2"/>
    </row>
    <row r="31" spans="1:8" ht="15.75">
      <c r="A31" s="31"/>
      <c r="B31" s="31"/>
      <c r="C31" s="31"/>
      <c r="D31" s="31"/>
      <c r="E31" s="178" t="s">
        <v>214</v>
      </c>
      <c r="F31" s="178"/>
      <c r="G31" s="178"/>
      <c r="H31" s="178"/>
    </row>
    <row r="32" spans="1:8" ht="15.75">
      <c r="A32" s="178" t="s">
        <v>77</v>
      </c>
      <c r="B32" s="178"/>
      <c r="C32" s="178"/>
      <c r="D32" s="32" t="s">
        <v>78</v>
      </c>
      <c r="E32" s="178" t="s">
        <v>79</v>
      </c>
      <c r="F32" s="178"/>
      <c r="G32" s="178"/>
      <c r="H32" s="178"/>
    </row>
    <row r="33" spans="1:8" ht="15.75">
      <c r="A33" s="178" t="s">
        <v>80</v>
      </c>
      <c r="B33" s="178"/>
      <c r="C33" s="178"/>
      <c r="D33" s="32" t="s">
        <v>80</v>
      </c>
      <c r="E33" s="178" t="s">
        <v>81</v>
      </c>
      <c r="F33" s="178"/>
      <c r="G33" s="178"/>
      <c r="H33" s="178"/>
    </row>
    <row r="34" spans="1:8" ht="15.75">
      <c r="A34" s="33"/>
      <c r="B34" s="33"/>
      <c r="C34" s="33"/>
      <c r="D34" s="33"/>
      <c r="E34" s="66"/>
      <c r="F34" s="66"/>
      <c r="G34" s="33"/>
    </row>
    <row r="35" spans="1:8" ht="16.5">
      <c r="A35" s="16"/>
      <c r="B35" s="16"/>
      <c r="C35" s="16"/>
      <c r="D35" s="16"/>
      <c r="E35" s="62"/>
      <c r="F35" s="62"/>
      <c r="G35" s="16"/>
    </row>
    <row r="36" spans="1:8" ht="16.5">
      <c r="A36" s="16"/>
      <c r="B36" s="16"/>
      <c r="C36" s="16"/>
      <c r="D36" s="16"/>
      <c r="E36" s="62"/>
      <c r="F36" s="62"/>
      <c r="G36" s="16"/>
    </row>
    <row r="37" spans="1:8" ht="16.5">
      <c r="A37" s="16"/>
      <c r="B37" s="16"/>
      <c r="C37" s="16"/>
      <c r="D37" s="16"/>
      <c r="E37" s="62"/>
      <c r="F37" s="62"/>
      <c r="G37" s="16"/>
    </row>
    <row r="38" spans="1:8" ht="16.5">
      <c r="A38" s="16"/>
      <c r="B38" s="16"/>
      <c r="C38" s="16"/>
      <c r="D38" s="16"/>
      <c r="E38" s="62"/>
      <c r="F38" s="62"/>
      <c r="G38" s="16"/>
    </row>
    <row r="39" spans="1:8" ht="16.5">
      <c r="A39" s="16"/>
      <c r="B39" s="16"/>
      <c r="C39" s="16"/>
      <c r="D39" s="62" t="s">
        <v>173</v>
      </c>
      <c r="E39" s="177" t="s">
        <v>172</v>
      </c>
      <c r="F39" s="177"/>
      <c r="G39" s="177"/>
      <c r="H39" s="177"/>
    </row>
  </sheetData>
  <mergeCells count="14">
    <mergeCell ref="E39:H39"/>
    <mergeCell ref="A28:D28"/>
    <mergeCell ref="A29:D29"/>
    <mergeCell ref="E31:H31"/>
    <mergeCell ref="A32:C32"/>
    <mergeCell ref="E32:H32"/>
    <mergeCell ref="A33:C33"/>
    <mergeCell ref="E33:H33"/>
    <mergeCell ref="A4:H4"/>
    <mergeCell ref="A5:H5"/>
    <mergeCell ref="A7:C7"/>
    <mergeCell ref="D7:D8"/>
    <mergeCell ref="E7:G7"/>
    <mergeCell ref="H7:H8"/>
  </mergeCells>
  <printOptions horizontalCentered="1"/>
  <pageMargins left="0" right="0" top="0" bottom="0" header="0.31496062992125984" footer="0.31496062992125984"/>
  <pageSetup paperSize="9" scale="7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I51"/>
  <sheetViews>
    <sheetView topLeftCell="A17" workbookViewId="0">
      <selection activeCell="I24" sqref="I24"/>
    </sheetView>
  </sheetViews>
  <sheetFormatPr defaultRowHeight="15"/>
  <cols>
    <col min="1" max="1" width="5.7109375" customWidth="1"/>
    <col min="2" max="2" width="49.7109375" customWidth="1"/>
    <col min="3" max="3" width="8.28515625" customWidth="1"/>
    <col min="4" max="4" width="9.5703125" customWidth="1"/>
    <col min="5" max="5" width="5.28515625" customWidth="1"/>
    <col min="6" max="6" width="20.42578125" customWidth="1"/>
    <col min="9" max="9" width="22.5703125" style="148" customWidth="1"/>
  </cols>
  <sheetData>
    <row r="1" spans="1:9">
      <c r="A1" t="s">
        <v>107</v>
      </c>
      <c r="F1" s="1" t="s">
        <v>0</v>
      </c>
    </row>
    <row r="2" spans="1:9">
      <c r="A2" t="s">
        <v>115</v>
      </c>
      <c r="F2" s="1" t="s">
        <v>1</v>
      </c>
    </row>
    <row r="3" spans="1:9">
      <c r="A3" t="s">
        <v>175</v>
      </c>
      <c r="F3" s="1" t="s">
        <v>103</v>
      </c>
    </row>
    <row r="4" spans="1:9" ht="33" customHeight="1">
      <c r="A4" s="174" t="s">
        <v>2</v>
      </c>
      <c r="B4" s="174"/>
      <c r="C4" s="174"/>
      <c r="D4" s="174"/>
      <c r="E4" s="174"/>
      <c r="F4" s="174"/>
      <c r="G4" s="174"/>
    </row>
    <row r="5" spans="1:9" ht="18.75">
      <c r="A5" s="175" t="s">
        <v>236</v>
      </c>
      <c r="B5" s="175"/>
      <c r="C5" s="175"/>
      <c r="D5" s="175"/>
      <c r="E5" s="175"/>
      <c r="F5" s="175"/>
      <c r="G5" s="175"/>
    </row>
    <row r="6" spans="1:9">
      <c r="A6" s="6" t="s">
        <v>3</v>
      </c>
    </row>
    <row r="7" spans="1:9">
      <c r="A7" t="s">
        <v>239</v>
      </c>
      <c r="C7" t="s">
        <v>240</v>
      </c>
      <c r="F7" s="95">
        <v>1378740000</v>
      </c>
      <c r="G7" t="s">
        <v>241</v>
      </c>
    </row>
    <row r="8" spans="1:9">
      <c r="A8" t="s">
        <v>237</v>
      </c>
      <c r="C8" t="s">
        <v>243</v>
      </c>
      <c r="F8" s="95">
        <v>1378740000</v>
      </c>
      <c r="G8" t="s">
        <v>242</v>
      </c>
    </row>
    <row r="9" spans="1:9">
      <c r="A9" t="s">
        <v>238</v>
      </c>
    </row>
    <row r="10" spans="1:9" ht="21" customHeight="1">
      <c r="A10" s="12" t="s">
        <v>5</v>
      </c>
      <c r="B10" s="11"/>
      <c r="C10" t="s">
        <v>6</v>
      </c>
      <c r="D10" t="s">
        <v>4</v>
      </c>
      <c r="G10" s="94" t="s">
        <v>7</v>
      </c>
    </row>
    <row r="11" spans="1:9" ht="57">
      <c r="A11" s="5" t="s">
        <v>8</v>
      </c>
      <c r="B11" s="5" t="s">
        <v>9</v>
      </c>
      <c r="C11" s="5" t="s">
        <v>24</v>
      </c>
      <c r="D11" s="5" t="s">
        <v>10</v>
      </c>
      <c r="E11" s="212" t="s">
        <v>11</v>
      </c>
      <c r="F11" s="213"/>
      <c r="G11" s="5" t="s">
        <v>12</v>
      </c>
    </row>
    <row r="12" spans="1:9" ht="14.45" customHeight="1">
      <c r="A12" s="3" t="s">
        <v>25</v>
      </c>
      <c r="B12" s="7" t="s">
        <v>49</v>
      </c>
      <c r="C12" s="13">
        <v>10</v>
      </c>
      <c r="D12" s="2"/>
      <c r="E12" s="214">
        <v>11175710</v>
      </c>
      <c r="F12" s="215">
        <v>11175710</v>
      </c>
      <c r="G12" s="2"/>
    </row>
    <row r="13" spans="1:9" ht="14.45" customHeight="1">
      <c r="A13" s="3" t="s">
        <v>26</v>
      </c>
      <c r="B13" s="7" t="s">
        <v>20</v>
      </c>
      <c r="C13" s="13"/>
      <c r="D13" s="2"/>
      <c r="E13" s="208"/>
      <c r="F13" s="209"/>
      <c r="G13" s="2"/>
    </row>
    <row r="14" spans="1:9" ht="14.45" customHeight="1">
      <c r="A14" s="4" t="s">
        <v>27</v>
      </c>
      <c r="B14" s="8" t="s">
        <v>22</v>
      </c>
      <c r="C14" s="14">
        <v>22</v>
      </c>
      <c r="D14" s="2"/>
      <c r="E14" s="210">
        <v>13787400</v>
      </c>
      <c r="F14" s="211">
        <v>13787400</v>
      </c>
      <c r="G14" s="2"/>
      <c r="I14" s="148">
        <f>F8*1%</f>
        <v>13787400</v>
      </c>
    </row>
    <row r="15" spans="1:9" ht="14.45" customHeight="1">
      <c r="A15" s="4" t="s">
        <v>28</v>
      </c>
      <c r="B15" s="8" t="s">
        <v>21</v>
      </c>
      <c r="C15" s="14">
        <v>23</v>
      </c>
      <c r="D15" s="2"/>
      <c r="E15" s="208"/>
      <c r="F15" s="209"/>
      <c r="G15" s="2"/>
    </row>
    <row r="16" spans="1:9" ht="14.45" customHeight="1">
      <c r="A16" s="4" t="s">
        <v>29</v>
      </c>
      <c r="B16" s="8" t="s">
        <v>23</v>
      </c>
      <c r="C16" s="14">
        <v>24</v>
      </c>
      <c r="D16" s="2"/>
      <c r="E16" s="208"/>
      <c r="F16" s="209"/>
      <c r="G16" s="2"/>
    </row>
    <row r="17" spans="1:9" ht="14.45" customHeight="1">
      <c r="A17" s="3" t="s">
        <v>30</v>
      </c>
      <c r="B17" s="7" t="s">
        <v>50</v>
      </c>
      <c r="C17" s="13">
        <v>25</v>
      </c>
      <c r="D17" s="2"/>
      <c r="E17" s="217">
        <v>3364</v>
      </c>
      <c r="F17" s="218">
        <v>3364</v>
      </c>
      <c r="G17" s="2"/>
    </row>
    <row r="18" spans="1:9" ht="14.45" customHeight="1">
      <c r="A18" s="4"/>
      <c r="B18" s="8" t="s">
        <v>51</v>
      </c>
      <c r="C18" s="14" t="s">
        <v>60</v>
      </c>
      <c r="D18" s="2"/>
      <c r="E18" s="208"/>
      <c r="F18" s="209"/>
      <c r="G18" s="2"/>
    </row>
    <row r="19" spans="1:9" ht="14.45" customHeight="1">
      <c r="A19" s="4"/>
      <c r="B19" s="8" t="s">
        <v>52</v>
      </c>
      <c r="C19" s="14" t="s">
        <v>61</v>
      </c>
      <c r="D19" s="2"/>
      <c r="E19" s="219">
        <v>3364</v>
      </c>
      <c r="F19" s="220">
        <v>3364</v>
      </c>
      <c r="G19" s="2"/>
    </row>
    <row r="20" spans="1:9" ht="14.45" customHeight="1">
      <c r="A20" s="4"/>
      <c r="B20" s="7" t="s">
        <v>67</v>
      </c>
      <c r="C20" s="13"/>
      <c r="D20" s="2"/>
      <c r="E20" s="216"/>
      <c r="F20" s="209"/>
      <c r="G20" s="2"/>
    </row>
    <row r="21" spans="1:9" ht="14.45" customHeight="1">
      <c r="A21" s="3" t="s">
        <v>31</v>
      </c>
      <c r="B21" s="7" t="s">
        <v>46</v>
      </c>
      <c r="C21" s="13">
        <v>28</v>
      </c>
      <c r="D21" s="2"/>
      <c r="E21" s="217">
        <f>E22</f>
        <v>21902100</v>
      </c>
      <c r="F21" s="221"/>
      <c r="G21" s="2"/>
    </row>
    <row r="22" spans="1:9" ht="14.45" customHeight="1">
      <c r="A22" s="4"/>
      <c r="B22" s="9" t="s">
        <v>13</v>
      </c>
      <c r="C22" s="14" t="s">
        <v>62</v>
      </c>
      <c r="D22" s="2"/>
      <c r="E22" s="219">
        <v>21902100</v>
      </c>
      <c r="F22" s="220">
        <v>21902100</v>
      </c>
      <c r="G22" s="2"/>
      <c r="I22" s="148">
        <f>F7*2%*75%</f>
        <v>20681100</v>
      </c>
    </row>
    <row r="23" spans="1:9" ht="14.45" customHeight="1">
      <c r="A23" s="4"/>
      <c r="B23" s="9" t="s">
        <v>53</v>
      </c>
      <c r="C23" s="14" t="s">
        <v>63</v>
      </c>
      <c r="D23" s="2"/>
      <c r="E23" s="208"/>
      <c r="F23" s="209"/>
      <c r="G23" s="2"/>
    </row>
    <row r="24" spans="1:9" ht="14.45" customHeight="1">
      <c r="A24" s="4" t="s">
        <v>32</v>
      </c>
      <c r="B24" s="8" t="s">
        <v>54</v>
      </c>
      <c r="C24" s="14">
        <v>40</v>
      </c>
      <c r="D24" s="2"/>
      <c r="E24" s="208"/>
      <c r="F24" s="209"/>
      <c r="G24" s="2"/>
    </row>
    <row r="25" spans="1:9" ht="14.45" customHeight="1">
      <c r="A25" s="4" t="s">
        <v>108</v>
      </c>
      <c r="B25" s="2" t="s">
        <v>109</v>
      </c>
      <c r="C25" s="14">
        <v>47</v>
      </c>
      <c r="E25" s="208"/>
      <c r="F25" s="209"/>
      <c r="G25" s="2"/>
    </row>
    <row r="26" spans="1:9" ht="14.45" customHeight="1">
      <c r="A26" s="3"/>
      <c r="B26" s="7" t="s">
        <v>55</v>
      </c>
      <c r="C26" s="13"/>
      <c r="D26" s="2"/>
      <c r="E26" s="217">
        <f>E21+E17+E14</f>
        <v>35692864</v>
      </c>
      <c r="F26" s="221"/>
      <c r="G26" s="2"/>
    </row>
    <row r="27" spans="1:9" ht="14.45" customHeight="1">
      <c r="A27" s="3" t="s">
        <v>33</v>
      </c>
      <c r="B27" s="7" t="s">
        <v>56</v>
      </c>
      <c r="C27" s="13"/>
      <c r="D27" s="2"/>
      <c r="E27" s="208"/>
      <c r="F27" s="209"/>
      <c r="G27" s="2"/>
    </row>
    <row r="28" spans="1:9" ht="14.45" customHeight="1">
      <c r="A28" s="4" t="s">
        <v>34</v>
      </c>
      <c r="B28" s="9" t="s">
        <v>57</v>
      </c>
      <c r="C28" s="14">
        <v>31</v>
      </c>
      <c r="D28" s="2"/>
      <c r="E28" s="210">
        <v>29000000</v>
      </c>
      <c r="F28" s="211">
        <v>29000000</v>
      </c>
      <c r="G28" s="2"/>
    </row>
    <row r="29" spans="1:9" ht="14.45" customHeight="1">
      <c r="A29" s="4" t="s">
        <v>35</v>
      </c>
      <c r="B29" s="9" t="s">
        <v>14</v>
      </c>
      <c r="C29" s="14">
        <v>32</v>
      </c>
      <c r="D29" s="2"/>
      <c r="E29" s="208"/>
      <c r="F29" s="209"/>
      <c r="G29" s="2"/>
    </row>
    <row r="30" spans="1:9" ht="14.45" customHeight="1">
      <c r="A30" s="4" t="s">
        <v>36</v>
      </c>
      <c r="B30" s="8" t="s">
        <v>58</v>
      </c>
      <c r="C30" s="14">
        <v>33</v>
      </c>
      <c r="D30" s="2"/>
      <c r="E30" s="210">
        <f>1875000+44000+335500</f>
        <v>2254500</v>
      </c>
      <c r="F30" s="211">
        <v>1875000</v>
      </c>
      <c r="G30" s="2"/>
    </row>
    <row r="31" spans="1:9" s="45" customFormat="1" ht="14.45" customHeight="1">
      <c r="A31" s="41" t="s">
        <v>37</v>
      </c>
      <c r="B31" s="42" t="s">
        <v>43</v>
      </c>
      <c r="C31" s="43">
        <v>34</v>
      </c>
      <c r="D31" s="44"/>
      <c r="E31" s="210">
        <f>E32+E33+E34</f>
        <v>2601900</v>
      </c>
      <c r="F31" s="209"/>
      <c r="G31" s="44"/>
      <c r="I31" s="149"/>
    </row>
    <row r="32" spans="1:9" ht="14.45" customHeight="1">
      <c r="A32" s="4"/>
      <c r="B32" s="9" t="s">
        <v>59</v>
      </c>
      <c r="C32" s="14" t="s">
        <v>64</v>
      </c>
      <c r="D32" s="2"/>
      <c r="E32" s="208"/>
      <c r="F32" s="209"/>
      <c r="G32" s="2"/>
    </row>
    <row r="33" spans="1:9" ht="14.45" customHeight="1">
      <c r="A33" s="4"/>
      <c r="B33" s="8" t="s">
        <v>15</v>
      </c>
      <c r="C33" s="14" t="s">
        <v>65</v>
      </c>
      <c r="D33" s="2"/>
      <c r="E33" s="210">
        <v>2601900</v>
      </c>
      <c r="F33" s="211">
        <v>2601900</v>
      </c>
      <c r="G33" s="2"/>
    </row>
    <row r="34" spans="1:9" ht="14.45" customHeight="1">
      <c r="A34" s="4"/>
      <c r="B34" s="8" t="s">
        <v>16</v>
      </c>
      <c r="C34" s="14" t="s">
        <v>66</v>
      </c>
      <c r="D34" s="2"/>
      <c r="E34" s="208"/>
      <c r="F34" s="209"/>
      <c r="G34" s="2"/>
    </row>
    <row r="35" spans="1:9" ht="14.45" customHeight="1">
      <c r="A35" s="4" t="s">
        <v>38</v>
      </c>
      <c r="B35" s="8" t="s">
        <v>17</v>
      </c>
      <c r="C35" s="14">
        <v>37</v>
      </c>
      <c r="D35" s="2"/>
      <c r="E35" s="208"/>
      <c r="F35" s="209"/>
      <c r="G35" s="2"/>
    </row>
    <row r="36" spans="1:9" ht="14.45" customHeight="1">
      <c r="A36" s="4"/>
      <c r="B36" s="7" t="s">
        <v>42</v>
      </c>
      <c r="C36" s="13"/>
      <c r="D36" s="2"/>
      <c r="E36" s="223">
        <f>E28+E29+E30+E31+E35</f>
        <v>33856400</v>
      </c>
      <c r="F36" s="221"/>
      <c r="G36" s="2"/>
    </row>
    <row r="37" spans="1:9" ht="14.45" customHeight="1">
      <c r="A37" s="4" t="s">
        <v>39</v>
      </c>
      <c r="B37" s="8" t="s">
        <v>106</v>
      </c>
      <c r="C37" s="14">
        <v>39</v>
      </c>
      <c r="D37" s="2"/>
      <c r="E37" s="224">
        <f>3605940+3054600</f>
        <v>6660540</v>
      </c>
      <c r="F37" s="225"/>
      <c r="G37" s="2"/>
    </row>
    <row r="38" spans="1:9" ht="14.45" customHeight="1">
      <c r="A38" s="4" t="s">
        <v>40</v>
      </c>
      <c r="B38" s="8" t="s">
        <v>47</v>
      </c>
      <c r="C38" s="14">
        <v>42</v>
      </c>
      <c r="D38" s="2"/>
      <c r="E38" s="208"/>
      <c r="F38" s="209"/>
      <c r="G38" s="2"/>
    </row>
    <row r="39" spans="1:9" ht="14.45" customHeight="1">
      <c r="A39" s="4" t="s">
        <v>111</v>
      </c>
      <c r="B39" s="8" t="s">
        <v>110</v>
      </c>
      <c r="C39" s="14">
        <v>48</v>
      </c>
      <c r="D39" s="2"/>
      <c r="E39" s="208"/>
      <c r="F39" s="209"/>
      <c r="G39" s="2"/>
    </row>
    <row r="40" spans="1:9" ht="14.45" customHeight="1">
      <c r="A40" s="3"/>
      <c r="B40" s="7" t="s">
        <v>48</v>
      </c>
      <c r="C40" s="14"/>
      <c r="D40" s="2"/>
      <c r="E40" s="214">
        <f>E36+E37</f>
        <v>40516940</v>
      </c>
      <c r="F40" s="221"/>
      <c r="G40" s="2"/>
    </row>
    <row r="41" spans="1:9" ht="14.45" customHeight="1">
      <c r="A41" s="3" t="s">
        <v>112</v>
      </c>
      <c r="B41" s="10" t="s">
        <v>44</v>
      </c>
      <c r="C41" s="13">
        <v>50</v>
      </c>
      <c r="D41" s="2"/>
      <c r="E41" s="216">
        <f>E12+E26-E40</f>
        <v>6351634</v>
      </c>
      <c r="F41" s="209"/>
      <c r="G41" s="2"/>
      <c r="I41" s="148">
        <f>E41+4122600</f>
        <v>10474234</v>
      </c>
    </row>
    <row r="42" spans="1:9" ht="30" customHeight="1">
      <c r="A42" s="3" t="s">
        <v>41</v>
      </c>
      <c r="B42" s="10" t="s">
        <v>18</v>
      </c>
      <c r="C42" s="35">
        <v>60</v>
      </c>
      <c r="D42" s="2"/>
      <c r="E42" s="208"/>
      <c r="F42" s="209"/>
      <c r="G42" s="2"/>
      <c r="I42" s="148">
        <f>I41+2748600*3</f>
        <v>18720034</v>
      </c>
    </row>
    <row r="43" spans="1:9" ht="28.9" customHeight="1">
      <c r="A43" s="12" t="s">
        <v>19</v>
      </c>
    </row>
    <row r="44" spans="1:9">
      <c r="C44" s="176" t="s">
        <v>354</v>
      </c>
      <c r="D44" s="176"/>
      <c r="E44" s="176"/>
      <c r="F44" s="176"/>
      <c r="G44" s="176"/>
    </row>
    <row r="45" spans="1:9">
      <c r="C45" s="176" t="s">
        <v>101</v>
      </c>
      <c r="D45" s="176"/>
      <c r="E45" s="176"/>
      <c r="F45" s="176"/>
      <c r="G45" s="176"/>
      <c r="I45" s="150"/>
    </row>
    <row r="46" spans="1:9">
      <c r="B46" s="222" t="s">
        <v>45</v>
      </c>
      <c r="C46" s="176" t="s">
        <v>102</v>
      </c>
      <c r="D46" s="176"/>
      <c r="E46" s="176"/>
      <c r="F46" s="176"/>
      <c r="G46" s="176"/>
    </row>
    <row r="47" spans="1:9" ht="15.75">
      <c r="B47" s="222"/>
      <c r="C47" s="178" t="s">
        <v>81</v>
      </c>
      <c r="D47" s="178"/>
      <c r="E47" s="178"/>
      <c r="F47" s="178"/>
      <c r="G47" s="178"/>
    </row>
    <row r="51" spans="2:7">
      <c r="B51" s="131" t="s">
        <v>355</v>
      </c>
      <c r="C51" s="172" t="s">
        <v>356</v>
      </c>
      <c r="D51" s="172"/>
      <c r="E51" s="172"/>
      <c r="F51" s="172"/>
      <c r="G51" s="172"/>
    </row>
  </sheetData>
  <mergeCells count="40">
    <mergeCell ref="E38:F38"/>
    <mergeCell ref="C51:G51"/>
    <mergeCell ref="B46:B47"/>
    <mergeCell ref="E33:F33"/>
    <mergeCell ref="E34:F34"/>
    <mergeCell ref="E35:F35"/>
    <mergeCell ref="E36:F36"/>
    <mergeCell ref="E37:F37"/>
    <mergeCell ref="C46:G46"/>
    <mergeCell ref="C47:G47"/>
    <mergeCell ref="E39:F39"/>
    <mergeCell ref="E40:F40"/>
    <mergeCell ref="E41:F41"/>
    <mergeCell ref="E42:F42"/>
    <mergeCell ref="A4:G4"/>
    <mergeCell ref="A5:G5"/>
    <mergeCell ref="C44:G44"/>
    <mergeCell ref="C45:G45"/>
    <mergeCell ref="E15:F15"/>
    <mergeCell ref="E16:F16"/>
    <mergeCell ref="E17:F17"/>
    <mergeCell ref="E18:F18"/>
    <mergeCell ref="E19:F19"/>
    <mergeCell ref="E32:F32"/>
    <mergeCell ref="E21:F21"/>
    <mergeCell ref="E22:F22"/>
    <mergeCell ref="E23:F23"/>
    <mergeCell ref="E24:F24"/>
    <mergeCell ref="E25:F25"/>
    <mergeCell ref="E26:F26"/>
    <mergeCell ref="E11:F11"/>
    <mergeCell ref="E12:F12"/>
    <mergeCell ref="E13:F13"/>
    <mergeCell ref="E14:F14"/>
    <mergeCell ref="E20:F20"/>
    <mergeCell ref="E27:F27"/>
    <mergeCell ref="E28:F28"/>
    <mergeCell ref="E29:F29"/>
    <mergeCell ref="E30:F30"/>
    <mergeCell ref="E31:F31"/>
  </mergeCells>
  <printOptions horizontalCentered="1"/>
  <pageMargins left="0" right="0" top="0" bottom="0" header="0.3" footer="0.3"/>
  <pageSetup paperSize="9" scale="7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J70"/>
  <sheetViews>
    <sheetView topLeftCell="B43" workbookViewId="0">
      <selection activeCell="E53" sqref="E53"/>
    </sheetView>
  </sheetViews>
  <sheetFormatPr defaultRowHeight="15"/>
  <cols>
    <col min="1" max="1" width="12.42578125" customWidth="1"/>
    <col min="2" max="2" width="14.28515625" customWidth="1"/>
    <col min="3" max="3" width="12.28515625" customWidth="1"/>
    <col min="4" max="4" width="13.5703125" customWidth="1"/>
    <col min="5" max="5" width="55.140625" customWidth="1"/>
    <col min="6" max="6" width="12.42578125" customWidth="1"/>
    <col min="7" max="7" width="12.7109375" customWidth="1"/>
    <col min="8" max="8" width="11.42578125" customWidth="1"/>
    <col min="9" max="9" width="7.7109375" customWidth="1"/>
    <col min="258" max="258" width="14.28515625" customWidth="1"/>
    <col min="261" max="261" width="64" customWidth="1"/>
    <col min="262" max="264" width="14.7109375" customWidth="1"/>
    <col min="265" max="265" width="13.7109375" customWidth="1"/>
    <col min="514" max="514" width="14.28515625" customWidth="1"/>
    <col min="517" max="517" width="64" customWidth="1"/>
    <col min="518" max="520" width="14.7109375" customWidth="1"/>
    <col min="521" max="521" width="13.7109375" customWidth="1"/>
    <col min="770" max="770" width="14.28515625" customWidth="1"/>
    <col min="773" max="773" width="64" customWidth="1"/>
    <col min="774" max="776" width="14.7109375" customWidth="1"/>
    <col min="777" max="777" width="13.7109375" customWidth="1"/>
    <col min="1026" max="1026" width="14.28515625" customWidth="1"/>
    <col min="1029" max="1029" width="64" customWidth="1"/>
    <col min="1030" max="1032" width="14.7109375" customWidth="1"/>
    <col min="1033" max="1033" width="13.7109375" customWidth="1"/>
    <col min="1282" max="1282" width="14.28515625" customWidth="1"/>
    <col min="1285" max="1285" width="64" customWidth="1"/>
    <col min="1286" max="1288" width="14.7109375" customWidth="1"/>
    <col min="1289" max="1289" width="13.7109375" customWidth="1"/>
    <col min="1538" max="1538" width="14.28515625" customWidth="1"/>
    <col min="1541" max="1541" width="64" customWidth="1"/>
    <col min="1542" max="1544" width="14.7109375" customWidth="1"/>
    <col min="1545" max="1545" width="13.7109375" customWidth="1"/>
    <col min="1794" max="1794" width="14.28515625" customWidth="1"/>
    <col min="1797" max="1797" width="64" customWidth="1"/>
    <col min="1798" max="1800" width="14.7109375" customWidth="1"/>
    <col min="1801" max="1801" width="13.7109375" customWidth="1"/>
    <col min="2050" max="2050" width="14.28515625" customWidth="1"/>
    <col min="2053" max="2053" width="64" customWidth="1"/>
    <col min="2054" max="2056" width="14.7109375" customWidth="1"/>
    <col min="2057" max="2057" width="13.7109375" customWidth="1"/>
    <col min="2306" max="2306" width="14.28515625" customWidth="1"/>
    <col min="2309" max="2309" width="64" customWidth="1"/>
    <col min="2310" max="2312" width="14.7109375" customWidth="1"/>
    <col min="2313" max="2313" width="13.7109375" customWidth="1"/>
    <col min="2562" max="2562" width="14.28515625" customWidth="1"/>
    <col min="2565" max="2565" width="64" customWidth="1"/>
    <col min="2566" max="2568" width="14.7109375" customWidth="1"/>
    <col min="2569" max="2569" width="13.7109375" customWidth="1"/>
    <col min="2818" max="2818" width="14.28515625" customWidth="1"/>
    <col min="2821" max="2821" width="64" customWidth="1"/>
    <col min="2822" max="2824" width="14.7109375" customWidth="1"/>
    <col min="2825" max="2825" width="13.7109375" customWidth="1"/>
    <col min="3074" max="3074" width="14.28515625" customWidth="1"/>
    <col min="3077" max="3077" width="64" customWidth="1"/>
    <col min="3078" max="3080" width="14.7109375" customWidth="1"/>
    <col min="3081" max="3081" width="13.7109375" customWidth="1"/>
    <col min="3330" max="3330" width="14.28515625" customWidth="1"/>
    <col min="3333" max="3333" width="64" customWidth="1"/>
    <col min="3334" max="3336" width="14.7109375" customWidth="1"/>
    <col min="3337" max="3337" width="13.7109375" customWidth="1"/>
    <col min="3586" max="3586" width="14.28515625" customWidth="1"/>
    <col min="3589" max="3589" width="64" customWidth="1"/>
    <col min="3590" max="3592" width="14.7109375" customWidth="1"/>
    <col min="3593" max="3593" width="13.7109375" customWidth="1"/>
    <col min="3842" max="3842" width="14.28515625" customWidth="1"/>
    <col min="3845" max="3845" width="64" customWidth="1"/>
    <col min="3846" max="3848" width="14.7109375" customWidth="1"/>
    <col min="3849" max="3849" width="13.7109375" customWidth="1"/>
    <col min="4098" max="4098" width="14.28515625" customWidth="1"/>
    <col min="4101" max="4101" width="64" customWidth="1"/>
    <col min="4102" max="4104" width="14.7109375" customWidth="1"/>
    <col min="4105" max="4105" width="13.7109375" customWidth="1"/>
    <col min="4354" max="4354" width="14.28515625" customWidth="1"/>
    <col min="4357" max="4357" width="64" customWidth="1"/>
    <col min="4358" max="4360" width="14.7109375" customWidth="1"/>
    <col min="4361" max="4361" width="13.7109375" customWidth="1"/>
    <col min="4610" max="4610" width="14.28515625" customWidth="1"/>
    <col min="4613" max="4613" width="64" customWidth="1"/>
    <col min="4614" max="4616" width="14.7109375" customWidth="1"/>
    <col min="4617" max="4617" width="13.7109375" customWidth="1"/>
    <col min="4866" max="4866" width="14.28515625" customWidth="1"/>
    <col min="4869" max="4869" width="64" customWidth="1"/>
    <col min="4870" max="4872" width="14.7109375" customWidth="1"/>
    <col min="4873" max="4873" width="13.7109375" customWidth="1"/>
    <col min="5122" max="5122" width="14.28515625" customWidth="1"/>
    <col min="5125" max="5125" width="64" customWidth="1"/>
    <col min="5126" max="5128" width="14.7109375" customWidth="1"/>
    <col min="5129" max="5129" width="13.7109375" customWidth="1"/>
    <col min="5378" max="5378" width="14.28515625" customWidth="1"/>
    <col min="5381" max="5381" width="64" customWidth="1"/>
    <col min="5382" max="5384" width="14.7109375" customWidth="1"/>
    <col min="5385" max="5385" width="13.7109375" customWidth="1"/>
    <col min="5634" max="5634" width="14.28515625" customWidth="1"/>
    <col min="5637" max="5637" width="64" customWidth="1"/>
    <col min="5638" max="5640" width="14.7109375" customWidth="1"/>
    <col min="5641" max="5641" width="13.7109375" customWidth="1"/>
    <col min="5890" max="5890" width="14.28515625" customWidth="1"/>
    <col min="5893" max="5893" width="64" customWidth="1"/>
    <col min="5894" max="5896" width="14.7109375" customWidth="1"/>
    <col min="5897" max="5897" width="13.7109375" customWidth="1"/>
    <col min="6146" max="6146" width="14.28515625" customWidth="1"/>
    <col min="6149" max="6149" width="64" customWidth="1"/>
    <col min="6150" max="6152" width="14.7109375" customWidth="1"/>
    <col min="6153" max="6153" width="13.7109375" customWidth="1"/>
    <col min="6402" max="6402" width="14.28515625" customWidth="1"/>
    <col min="6405" max="6405" width="64" customWidth="1"/>
    <col min="6406" max="6408" width="14.7109375" customWidth="1"/>
    <col min="6409" max="6409" width="13.7109375" customWidth="1"/>
    <col min="6658" max="6658" width="14.28515625" customWidth="1"/>
    <col min="6661" max="6661" width="64" customWidth="1"/>
    <col min="6662" max="6664" width="14.7109375" customWidth="1"/>
    <col min="6665" max="6665" width="13.7109375" customWidth="1"/>
    <col min="6914" max="6914" width="14.28515625" customWidth="1"/>
    <col min="6917" max="6917" width="64" customWidth="1"/>
    <col min="6918" max="6920" width="14.7109375" customWidth="1"/>
    <col min="6921" max="6921" width="13.7109375" customWidth="1"/>
    <col min="7170" max="7170" width="14.28515625" customWidth="1"/>
    <col min="7173" max="7173" width="64" customWidth="1"/>
    <col min="7174" max="7176" width="14.7109375" customWidth="1"/>
    <col min="7177" max="7177" width="13.7109375" customWidth="1"/>
    <col min="7426" max="7426" width="14.28515625" customWidth="1"/>
    <col min="7429" max="7429" width="64" customWidth="1"/>
    <col min="7430" max="7432" width="14.7109375" customWidth="1"/>
    <col min="7433" max="7433" width="13.7109375" customWidth="1"/>
    <col min="7682" max="7682" width="14.28515625" customWidth="1"/>
    <col min="7685" max="7685" width="64" customWidth="1"/>
    <col min="7686" max="7688" width="14.7109375" customWidth="1"/>
    <col min="7689" max="7689" width="13.7109375" customWidth="1"/>
    <col min="7938" max="7938" width="14.28515625" customWidth="1"/>
    <col min="7941" max="7941" width="64" customWidth="1"/>
    <col min="7942" max="7944" width="14.7109375" customWidth="1"/>
    <col min="7945" max="7945" width="13.7109375" customWidth="1"/>
    <col min="8194" max="8194" width="14.28515625" customWidth="1"/>
    <col min="8197" max="8197" width="64" customWidth="1"/>
    <col min="8198" max="8200" width="14.7109375" customWidth="1"/>
    <col min="8201" max="8201" width="13.7109375" customWidth="1"/>
    <col min="8450" max="8450" width="14.28515625" customWidth="1"/>
    <col min="8453" max="8453" width="64" customWidth="1"/>
    <col min="8454" max="8456" width="14.7109375" customWidth="1"/>
    <col min="8457" max="8457" width="13.7109375" customWidth="1"/>
    <col min="8706" max="8706" width="14.28515625" customWidth="1"/>
    <col min="8709" max="8709" width="64" customWidth="1"/>
    <col min="8710" max="8712" width="14.7109375" customWidth="1"/>
    <col min="8713" max="8713" width="13.7109375" customWidth="1"/>
    <col min="8962" max="8962" width="14.28515625" customWidth="1"/>
    <col min="8965" max="8965" width="64" customWidth="1"/>
    <col min="8966" max="8968" width="14.7109375" customWidth="1"/>
    <col min="8969" max="8969" width="13.7109375" customWidth="1"/>
    <col min="9218" max="9218" width="14.28515625" customWidth="1"/>
    <col min="9221" max="9221" width="64" customWidth="1"/>
    <col min="9222" max="9224" width="14.7109375" customWidth="1"/>
    <col min="9225" max="9225" width="13.7109375" customWidth="1"/>
    <col min="9474" max="9474" width="14.28515625" customWidth="1"/>
    <col min="9477" max="9477" width="64" customWidth="1"/>
    <col min="9478" max="9480" width="14.7109375" customWidth="1"/>
    <col min="9481" max="9481" width="13.7109375" customWidth="1"/>
    <col min="9730" max="9730" width="14.28515625" customWidth="1"/>
    <col min="9733" max="9733" width="64" customWidth="1"/>
    <col min="9734" max="9736" width="14.7109375" customWidth="1"/>
    <col min="9737" max="9737" width="13.7109375" customWidth="1"/>
    <col min="9986" max="9986" width="14.28515625" customWidth="1"/>
    <col min="9989" max="9989" width="64" customWidth="1"/>
    <col min="9990" max="9992" width="14.7109375" customWidth="1"/>
    <col min="9993" max="9993" width="13.7109375" customWidth="1"/>
    <col min="10242" max="10242" width="14.28515625" customWidth="1"/>
    <col min="10245" max="10245" width="64" customWidth="1"/>
    <col min="10246" max="10248" width="14.7109375" customWidth="1"/>
    <col min="10249" max="10249" width="13.7109375" customWidth="1"/>
    <col min="10498" max="10498" width="14.28515625" customWidth="1"/>
    <col min="10501" max="10501" width="64" customWidth="1"/>
    <col min="10502" max="10504" width="14.7109375" customWidth="1"/>
    <col min="10505" max="10505" width="13.7109375" customWidth="1"/>
    <col min="10754" max="10754" width="14.28515625" customWidth="1"/>
    <col min="10757" max="10757" width="64" customWidth="1"/>
    <col min="10758" max="10760" width="14.7109375" customWidth="1"/>
    <col min="10761" max="10761" width="13.7109375" customWidth="1"/>
    <col min="11010" max="11010" width="14.28515625" customWidth="1"/>
    <col min="11013" max="11013" width="64" customWidth="1"/>
    <col min="11014" max="11016" width="14.7109375" customWidth="1"/>
    <col min="11017" max="11017" width="13.7109375" customWidth="1"/>
    <col min="11266" max="11266" width="14.28515625" customWidth="1"/>
    <col min="11269" max="11269" width="64" customWidth="1"/>
    <col min="11270" max="11272" width="14.7109375" customWidth="1"/>
    <col min="11273" max="11273" width="13.7109375" customWidth="1"/>
    <col min="11522" max="11522" width="14.28515625" customWidth="1"/>
    <col min="11525" max="11525" width="64" customWidth="1"/>
    <col min="11526" max="11528" width="14.7109375" customWidth="1"/>
    <col min="11529" max="11529" width="13.7109375" customWidth="1"/>
    <col min="11778" max="11778" width="14.28515625" customWidth="1"/>
    <col min="11781" max="11781" width="64" customWidth="1"/>
    <col min="11782" max="11784" width="14.7109375" customWidth="1"/>
    <col min="11785" max="11785" width="13.7109375" customWidth="1"/>
    <col min="12034" max="12034" width="14.28515625" customWidth="1"/>
    <col min="12037" max="12037" width="64" customWidth="1"/>
    <col min="12038" max="12040" width="14.7109375" customWidth="1"/>
    <col min="12041" max="12041" width="13.7109375" customWidth="1"/>
    <col min="12290" max="12290" width="14.28515625" customWidth="1"/>
    <col min="12293" max="12293" width="64" customWidth="1"/>
    <col min="12294" max="12296" width="14.7109375" customWidth="1"/>
    <col min="12297" max="12297" width="13.7109375" customWidth="1"/>
    <col min="12546" max="12546" width="14.28515625" customWidth="1"/>
    <col min="12549" max="12549" width="64" customWidth="1"/>
    <col min="12550" max="12552" width="14.7109375" customWidth="1"/>
    <col min="12553" max="12553" width="13.7109375" customWidth="1"/>
    <col min="12802" max="12802" width="14.28515625" customWidth="1"/>
    <col min="12805" max="12805" width="64" customWidth="1"/>
    <col min="12806" max="12808" width="14.7109375" customWidth="1"/>
    <col min="12809" max="12809" width="13.7109375" customWidth="1"/>
    <col min="13058" max="13058" width="14.28515625" customWidth="1"/>
    <col min="13061" max="13061" width="64" customWidth="1"/>
    <col min="13062" max="13064" width="14.7109375" customWidth="1"/>
    <col min="13065" max="13065" width="13.7109375" customWidth="1"/>
    <col min="13314" max="13314" width="14.28515625" customWidth="1"/>
    <col min="13317" max="13317" width="64" customWidth="1"/>
    <col min="13318" max="13320" width="14.7109375" customWidth="1"/>
    <col min="13321" max="13321" width="13.7109375" customWidth="1"/>
    <col min="13570" max="13570" width="14.28515625" customWidth="1"/>
    <col min="13573" max="13573" width="64" customWidth="1"/>
    <col min="13574" max="13576" width="14.7109375" customWidth="1"/>
    <col min="13577" max="13577" width="13.7109375" customWidth="1"/>
    <col min="13826" max="13826" width="14.28515625" customWidth="1"/>
    <col min="13829" max="13829" width="64" customWidth="1"/>
    <col min="13830" max="13832" width="14.7109375" customWidth="1"/>
    <col min="13833" max="13833" width="13.7109375" customWidth="1"/>
    <col min="14082" max="14082" width="14.28515625" customWidth="1"/>
    <col min="14085" max="14085" width="64" customWidth="1"/>
    <col min="14086" max="14088" width="14.7109375" customWidth="1"/>
    <col min="14089" max="14089" width="13.7109375" customWidth="1"/>
    <col min="14338" max="14338" width="14.28515625" customWidth="1"/>
    <col min="14341" max="14341" width="64" customWidth="1"/>
    <col min="14342" max="14344" width="14.7109375" customWidth="1"/>
    <col min="14345" max="14345" width="13.7109375" customWidth="1"/>
    <col min="14594" max="14594" width="14.28515625" customWidth="1"/>
    <col min="14597" max="14597" width="64" customWidth="1"/>
    <col min="14598" max="14600" width="14.7109375" customWidth="1"/>
    <col min="14601" max="14601" width="13.7109375" customWidth="1"/>
    <col min="14850" max="14850" width="14.28515625" customWidth="1"/>
    <col min="14853" max="14853" width="64" customWidth="1"/>
    <col min="14854" max="14856" width="14.7109375" customWidth="1"/>
    <col min="14857" max="14857" width="13.7109375" customWidth="1"/>
    <col min="15106" max="15106" width="14.28515625" customWidth="1"/>
    <col min="15109" max="15109" width="64" customWidth="1"/>
    <col min="15110" max="15112" width="14.7109375" customWidth="1"/>
    <col min="15113" max="15113" width="13.7109375" customWidth="1"/>
    <col min="15362" max="15362" width="14.28515625" customWidth="1"/>
    <col min="15365" max="15365" width="64" customWidth="1"/>
    <col min="15366" max="15368" width="14.7109375" customWidth="1"/>
    <col min="15369" max="15369" width="13.7109375" customWidth="1"/>
    <col min="15618" max="15618" width="14.28515625" customWidth="1"/>
    <col min="15621" max="15621" width="64" customWidth="1"/>
    <col min="15622" max="15624" width="14.7109375" customWidth="1"/>
    <col min="15625" max="15625" width="13.7109375" customWidth="1"/>
    <col min="15874" max="15874" width="14.28515625" customWidth="1"/>
    <col min="15877" max="15877" width="64" customWidth="1"/>
    <col min="15878" max="15880" width="14.7109375" customWidth="1"/>
    <col min="15881" max="15881" width="13.7109375" customWidth="1"/>
    <col min="16130" max="16130" width="14.28515625" customWidth="1"/>
    <col min="16133" max="16133" width="64" customWidth="1"/>
    <col min="16134" max="16136" width="14.7109375" customWidth="1"/>
    <col min="16137" max="16137" width="13.7109375" customWidth="1"/>
  </cols>
  <sheetData>
    <row r="1" spans="1:10" ht="16.5">
      <c r="A1" s="46" t="s">
        <v>107</v>
      </c>
      <c r="B1" s="46"/>
      <c r="C1" s="15"/>
      <c r="D1" s="15"/>
      <c r="E1" s="15"/>
      <c r="F1" s="15"/>
      <c r="G1" s="12" t="s">
        <v>248</v>
      </c>
      <c r="I1" s="16"/>
    </row>
    <row r="2" spans="1:10" ht="16.5">
      <c r="A2" s="30" t="s">
        <v>115</v>
      </c>
      <c r="B2" s="30"/>
      <c r="C2" s="15"/>
      <c r="D2" s="15"/>
      <c r="E2" s="15"/>
      <c r="F2" s="15"/>
      <c r="G2" s="28" t="s">
        <v>88</v>
      </c>
      <c r="I2" s="16"/>
    </row>
    <row r="3" spans="1:10" ht="12.75" customHeight="1">
      <c r="B3" s="15"/>
      <c r="C3" s="15"/>
      <c r="D3" s="15"/>
      <c r="E3" s="15"/>
      <c r="F3" s="15"/>
      <c r="G3" s="29" t="s">
        <v>87</v>
      </c>
      <c r="I3" s="16"/>
    </row>
    <row r="4" spans="1:10" ht="18.75" customHeight="1">
      <c r="B4" s="174" t="s">
        <v>69</v>
      </c>
      <c r="C4" s="174"/>
      <c r="D4" s="174"/>
      <c r="E4" s="174"/>
      <c r="F4" s="174"/>
      <c r="G4" s="174"/>
      <c r="H4" s="174"/>
      <c r="I4" s="174"/>
    </row>
    <row r="5" spans="1:10" ht="13.5" customHeight="1">
      <c r="B5" s="226" t="s">
        <v>249</v>
      </c>
      <c r="C5" s="226"/>
      <c r="D5" s="226"/>
      <c r="E5" s="226"/>
      <c r="F5" s="226"/>
      <c r="G5" s="226"/>
      <c r="H5" s="226"/>
      <c r="I5" s="226"/>
    </row>
    <row r="6" spans="1:10" ht="8.25" customHeight="1">
      <c r="B6" s="16"/>
      <c r="C6" s="16"/>
      <c r="D6" s="16"/>
      <c r="E6" s="16"/>
      <c r="F6" s="16"/>
      <c r="G6" s="16"/>
      <c r="H6" s="16"/>
      <c r="I6" s="16"/>
      <c r="J6" s="16"/>
    </row>
    <row r="7" spans="1:10" ht="16.5">
      <c r="A7" s="227" t="s">
        <v>95</v>
      </c>
      <c r="B7" s="227" t="s">
        <v>250</v>
      </c>
      <c r="C7" s="196" t="s">
        <v>82</v>
      </c>
      <c r="D7" s="198"/>
      <c r="E7" s="181" t="s">
        <v>70</v>
      </c>
      <c r="F7" s="181" t="s">
        <v>71</v>
      </c>
      <c r="G7" s="181"/>
      <c r="H7" s="181"/>
      <c r="I7" s="181" t="s">
        <v>92</v>
      </c>
      <c r="J7" s="16"/>
    </row>
    <row r="8" spans="1:10" ht="16.5">
      <c r="A8" s="227"/>
      <c r="B8" s="227"/>
      <c r="C8" s="18" t="s">
        <v>73</v>
      </c>
      <c r="D8" s="18" t="s">
        <v>74</v>
      </c>
      <c r="E8" s="181"/>
      <c r="F8" s="18" t="s">
        <v>73</v>
      </c>
      <c r="G8" s="18" t="s">
        <v>74</v>
      </c>
      <c r="H8" s="18" t="s">
        <v>75</v>
      </c>
      <c r="I8" s="181"/>
      <c r="J8" s="16"/>
    </row>
    <row r="9" spans="1:10" ht="11.25" customHeight="1">
      <c r="A9" s="18" t="s">
        <v>83</v>
      </c>
      <c r="B9" s="18" t="s">
        <v>84</v>
      </c>
      <c r="C9" s="18" t="s">
        <v>85</v>
      </c>
      <c r="D9" s="18" t="s">
        <v>99</v>
      </c>
      <c r="E9" s="18" t="s">
        <v>86</v>
      </c>
      <c r="F9" s="18">
        <v>1</v>
      </c>
      <c r="G9" s="18">
        <v>2</v>
      </c>
      <c r="H9" s="18">
        <v>3</v>
      </c>
      <c r="I9" s="18" t="s">
        <v>93</v>
      </c>
      <c r="J9" s="16"/>
    </row>
    <row r="10" spans="1:10" ht="16.5">
      <c r="A10" s="2"/>
      <c r="B10" s="20"/>
      <c r="C10" s="20"/>
      <c r="D10" s="20"/>
      <c r="E10" s="18" t="s">
        <v>94</v>
      </c>
      <c r="F10" s="20"/>
      <c r="G10" s="20"/>
      <c r="H10" s="19">
        <v>11149200</v>
      </c>
      <c r="I10" s="17"/>
    </row>
    <row r="11" spans="1:10" ht="20.25" customHeight="1">
      <c r="A11" s="55">
        <v>45295</v>
      </c>
      <c r="B11" s="55">
        <v>45295</v>
      </c>
      <c r="C11" s="26"/>
      <c r="D11" s="56" t="s">
        <v>193</v>
      </c>
      <c r="E11" s="57" t="s">
        <v>194</v>
      </c>
      <c r="F11" s="117"/>
      <c r="G11" s="118">
        <v>300000</v>
      </c>
      <c r="H11" s="118">
        <f>+H10+F11-G11</f>
        <v>10849200</v>
      </c>
      <c r="I11" s="17"/>
    </row>
    <row r="12" spans="1:10" ht="20.25" customHeight="1">
      <c r="A12" s="55">
        <v>45306</v>
      </c>
      <c r="B12" s="55">
        <v>45306</v>
      </c>
      <c r="C12" s="27"/>
      <c r="D12" s="56" t="s">
        <v>195</v>
      </c>
      <c r="E12" s="57" t="s">
        <v>150</v>
      </c>
      <c r="F12" s="117"/>
      <c r="G12" s="118">
        <v>200000</v>
      </c>
      <c r="H12" s="118">
        <f t="shared" ref="H12:H31" si="0">+H11+F12-G12</f>
        <v>10649200</v>
      </c>
      <c r="I12" s="17"/>
    </row>
    <row r="13" spans="1:10" ht="20.25" customHeight="1">
      <c r="A13" s="55">
        <v>45313</v>
      </c>
      <c r="B13" s="55">
        <v>45313</v>
      </c>
      <c r="C13" s="26"/>
      <c r="D13" s="56" t="s">
        <v>196</v>
      </c>
      <c r="E13" s="57" t="s">
        <v>197</v>
      </c>
      <c r="F13" s="117"/>
      <c r="G13" s="118">
        <v>375000</v>
      </c>
      <c r="H13" s="118">
        <f t="shared" si="0"/>
        <v>10274200</v>
      </c>
      <c r="I13" s="17"/>
    </row>
    <row r="14" spans="1:10" ht="20.25" customHeight="1">
      <c r="A14" s="55">
        <v>45324</v>
      </c>
      <c r="B14" s="55">
        <v>45324</v>
      </c>
      <c r="C14" s="27"/>
      <c r="D14" s="56" t="s">
        <v>198</v>
      </c>
      <c r="E14" s="57" t="s">
        <v>149</v>
      </c>
      <c r="F14" s="117"/>
      <c r="G14" s="118">
        <v>5000000</v>
      </c>
      <c r="H14" s="118">
        <f t="shared" si="0"/>
        <v>5274200</v>
      </c>
      <c r="I14" s="17"/>
    </row>
    <row r="15" spans="1:10" ht="20.25" customHeight="1">
      <c r="A15" s="55">
        <v>45359</v>
      </c>
      <c r="B15" s="55">
        <v>45359</v>
      </c>
      <c r="C15" s="27"/>
      <c r="D15" s="56" t="s">
        <v>199</v>
      </c>
      <c r="E15" s="57" t="s">
        <v>152</v>
      </c>
      <c r="F15" s="118"/>
      <c r="G15" s="118">
        <v>800000</v>
      </c>
      <c r="H15" s="118">
        <f t="shared" si="0"/>
        <v>4474200</v>
      </c>
      <c r="I15" s="17"/>
    </row>
    <row r="16" spans="1:10" ht="20.25" customHeight="1">
      <c r="A16" s="55">
        <v>45365</v>
      </c>
      <c r="B16" s="55">
        <v>45365</v>
      </c>
      <c r="C16" s="27"/>
      <c r="D16" s="56" t="s">
        <v>200</v>
      </c>
      <c r="E16" s="57" t="s">
        <v>201</v>
      </c>
      <c r="F16" s="118"/>
      <c r="G16" s="118">
        <v>200000</v>
      </c>
      <c r="H16" s="118">
        <f t="shared" si="0"/>
        <v>4274200</v>
      </c>
      <c r="I16" s="17"/>
    </row>
    <row r="17" spans="1:9" ht="20.25" customHeight="1">
      <c r="A17" s="55">
        <v>45365</v>
      </c>
      <c r="B17" s="55">
        <v>45365</v>
      </c>
      <c r="C17" s="27"/>
      <c r="D17" s="56" t="s">
        <v>202</v>
      </c>
      <c r="E17" s="57" t="s">
        <v>203</v>
      </c>
      <c r="F17" s="118"/>
      <c r="G17" s="118">
        <v>200000</v>
      </c>
      <c r="H17" s="118">
        <f t="shared" si="0"/>
        <v>4074200</v>
      </c>
      <c r="I17" s="17"/>
    </row>
    <row r="18" spans="1:9" ht="20.25" customHeight="1">
      <c r="A18" s="55">
        <v>45385</v>
      </c>
      <c r="B18" s="55">
        <v>45385</v>
      </c>
      <c r="C18" s="27"/>
      <c r="D18" s="56" t="s">
        <v>204</v>
      </c>
      <c r="E18" s="57" t="s">
        <v>153</v>
      </c>
      <c r="F18" s="118"/>
      <c r="G18" s="118">
        <v>200000</v>
      </c>
      <c r="H18" s="118">
        <f t="shared" si="0"/>
        <v>3874200</v>
      </c>
      <c r="I18" s="17"/>
    </row>
    <row r="19" spans="1:9" ht="20.25" customHeight="1">
      <c r="A19" s="55">
        <v>45398</v>
      </c>
      <c r="B19" s="55">
        <v>45398</v>
      </c>
      <c r="C19" s="27"/>
      <c r="D19" s="56" t="s">
        <v>205</v>
      </c>
      <c r="E19" s="57" t="s">
        <v>154</v>
      </c>
      <c r="F19" s="118"/>
      <c r="G19" s="118">
        <v>200000</v>
      </c>
      <c r="H19" s="118">
        <f t="shared" si="0"/>
        <v>3674200</v>
      </c>
      <c r="I19" s="17"/>
    </row>
    <row r="20" spans="1:9" ht="20.25" customHeight="1">
      <c r="A20" s="55">
        <v>45399</v>
      </c>
      <c r="B20" s="55">
        <v>45399</v>
      </c>
      <c r="C20" s="27"/>
      <c r="D20" s="56" t="s">
        <v>206</v>
      </c>
      <c r="E20" s="57" t="s">
        <v>155</v>
      </c>
      <c r="F20" s="118"/>
      <c r="G20" s="118">
        <v>200000</v>
      </c>
      <c r="H20" s="118">
        <f t="shared" si="0"/>
        <v>3474200</v>
      </c>
      <c r="I20" s="17"/>
    </row>
    <row r="21" spans="1:9" ht="20.25" customHeight="1">
      <c r="A21" s="55">
        <v>45409</v>
      </c>
      <c r="B21" s="55">
        <v>45409</v>
      </c>
      <c r="C21" s="27"/>
      <c r="D21" s="56" t="s">
        <v>207</v>
      </c>
      <c r="E21" s="57" t="s">
        <v>156</v>
      </c>
      <c r="F21" s="118"/>
      <c r="G21" s="118">
        <v>2000000</v>
      </c>
      <c r="H21" s="118">
        <f t="shared" si="0"/>
        <v>1474200</v>
      </c>
      <c r="I21" s="17"/>
    </row>
    <row r="22" spans="1:9" ht="20.25" customHeight="1">
      <c r="A22" s="55">
        <v>45417</v>
      </c>
      <c r="B22" s="55">
        <v>45417</v>
      </c>
      <c r="C22" s="27"/>
      <c r="D22" s="56" t="s">
        <v>208</v>
      </c>
      <c r="E22" s="57" t="s">
        <v>157</v>
      </c>
      <c r="F22" s="118"/>
      <c r="G22" s="118">
        <v>200000</v>
      </c>
      <c r="H22" s="118">
        <f t="shared" si="0"/>
        <v>1274200</v>
      </c>
      <c r="I22" s="17"/>
    </row>
    <row r="23" spans="1:9" ht="20.25" customHeight="1">
      <c r="A23" s="55">
        <v>45422</v>
      </c>
      <c r="B23" s="55">
        <v>45422</v>
      </c>
      <c r="C23" s="27"/>
      <c r="D23" s="56" t="s">
        <v>209</v>
      </c>
      <c r="E23" s="57" t="s">
        <v>158</v>
      </c>
      <c r="F23" s="119"/>
      <c r="G23" s="118">
        <v>200000</v>
      </c>
      <c r="H23" s="118">
        <f t="shared" si="0"/>
        <v>1074200</v>
      </c>
      <c r="I23" s="17"/>
    </row>
    <row r="24" spans="1:9" ht="20.25" customHeight="1">
      <c r="A24" s="55">
        <v>45437</v>
      </c>
      <c r="B24" s="55">
        <v>45437</v>
      </c>
      <c r="C24" s="27"/>
      <c r="D24" s="56" t="s">
        <v>210</v>
      </c>
      <c r="E24" s="57" t="s">
        <v>159</v>
      </c>
      <c r="F24" s="118"/>
      <c r="G24" s="118">
        <v>200000</v>
      </c>
      <c r="H24" s="118">
        <f t="shared" si="0"/>
        <v>874200</v>
      </c>
      <c r="I24" s="17"/>
    </row>
    <row r="25" spans="1:9" ht="20.25" customHeight="1">
      <c r="A25" s="55">
        <v>45472</v>
      </c>
      <c r="B25" s="55">
        <v>45472</v>
      </c>
      <c r="C25" s="27"/>
      <c r="D25" s="56" t="s">
        <v>211</v>
      </c>
      <c r="E25" s="57" t="s">
        <v>160</v>
      </c>
      <c r="F25" s="118"/>
      <c r="G25" s="118">
        <v>200000</v>
      </c>
      <c r="H25" s="118">
        <f t="shared" si="0"/>
        <v>674200</v>
      </c>
      <c r="I25" s="17"/>
    </row>
    <row r="26" spans="1:9" ht="20.25" customHeight="1">
      <c r="A26" s="55">
        <v>45473</v>
      </c>
      <c r="B26" s="55">
        <v>45473</v>
      </c>
      <c r="C26" s="56" t="s">
        <v>212</v>
      </c>
      <c r="E26" s="57" t="s">
        <v>287</v>
      </c>
      <c r="F26" s="118">
        <v>3605400</v>
      </c>
      <c r="G26" s="118"/>
      <c r="H26" s="118">
        <f t="shared" si="0"/>
        <v>4279600</v>
      </c>
      <c r="I26" s="17"/>
    </row>
    <row r="27" spans="1:9" ht="20.25" customHeight="1">
      <c r="A27" s="55">
        <v>45504</v>
      </c>
      <c r="B27" s="55">
        <v>45504</v>
      </c>
      <c r="C27" s="27"/>
      <c r="D27" s="56" t="s">
        <v>288</v>
      </c>
      <c r="E27" s="57" t="s">
        <v>289</v>
      </c>
      <c r="F27" s="118"/>
      <c r="G27" s="118">
        <v>500000</v>
      </c>
      <c r="H27" s="118">
        <f t="shared" si="0"/>
        <v>3779600</v>
      </c>
      <c r="I27" s="17"/>
    </row>
    <row r="28" spans="1:9" ht="20.25" customHeight="1">
      <c r="A28" s="55">
        <v>45512</v>
      </c>
      <c r="B28" s="55">
        <v>45512</v>
      </c>
      <c r="C28" s="27"/>
      <c r="D28" s="56" t="s">
        <v>290</v>
      </c>
      <c r="E28" s="57" t="s">
        <v>291</v>
      </c>
      <c r="F28" s="118"/>
      <c r="G28" s="118">
        <v>510000</v>
      </c>
      <c r="H28" s="118">
        <f t="shared" si="0"/>
        <v>3269600</v>
      </c>
      <c r="I28" s="17"/>
    </row>
    <row r="29" spans="1:9" ht="20.25" customHeight="1">
      <c r="A29" s="55">
        <v>45523</v>
      </c>
      <c r="B29" s="55">
        <v>45523</v>
      </c>
      <c r="C29" s="27"/>
      <c r="D29" s="56" t="s">
        <v>292</v>
      </c>
      <c r="E29" s="57" t="s">
        <v>163</v>
      </c>
      <c r="F29" s="118"/>
      <c r="G29" s="118">
        <v>200000</v>
      </c>
      <c r="H29" s="118">
        <f t="shared" si="0"/>
        <v>3069600</v>
      </c>
      <c r="I29" s="17"/>
    </row>
    <row r="30" spans="1:9" ht="20.25" customHeight="1">
      <c r="A30" s="55">
        <v>45535</v>
      </c>
      <c r="B30" s="55">
        <v>45535</v>
      </c>
      <c r="C30" s="27"/>
      <c r="D30" s="56" t="s">
        <v>293</v>
      </c>
      <c r="E30" s="57" t="s">
        <v>294</v>
      </c>
      <c r="F30" s="118"/>
      <c r="G30" s="118">
        <v>2000000</v>
      </c>
      <c r="H30" s="118">
        <f t="shared" si="0"/>
        <v>1069600</v>
      </c>
      <c r="I30" s="17"/>
    </row>
    <row r="31" spans="1:9" ht="20.25" customHeight="1">
      <c r="A31" s="55">
        <v>45548</v>
      </c>
      <c r="B31" s="55">
        <v>45548</v>
      </c>
      <c r="C31" s="27"/>
      <c r="D31" s="56" t="s">
        <v>295</v>
      </c>
      <c r="E31" s="57" t="s">
        <v>296</v>
      </c>
      <c r="F31" s="118"/>
      <c r="G31" s="118">
        <v>700000</v>
      </c>
      <c r="H31" s="118">
        <f t="shared" si="0"/>
        <v>369600</v>
      </c>
      <c r="I31" s="17"/>
    </row>
    <row r="32" spans="1:9" ht="20.25" customHeight="1">
      <c r="A32" s="55">
        <v>45555</v>
      </c>
      <c r="B32" s="55">
        <v>45555</v>
      </c>
      <c r="C32" s="56" t="s">
        <v>297</v>
      </c>
      <c r="E32" s="57" t="s">
        <v>222</v>
      </c>
      <c r="F32" s="120">
        <v>6000000</v>
      </c>
      <c r="G32" s="118"/>
      <c r="H32" s="118">
        <f>H31+F32-G32</f>
        <v>6369600</v>
      </c>
      <c r="I32" s="17"/>
    </row>
    <row r="33" spans="1:9" ht="22.5" customHeight="1">
      <c r="A33" s="55">
        <v>45555</v>
      </c>
      <c r="B33" s="55">
        <v>45555</v>
      </c>
      <c r="C33" s="27"/>
      <c r="D33" s="56" t="s">
        <v>298</v>
      </c>
      <c r="E33" s="57" t="s">
        <v>299</v>
      </c>
      <c r="F33" s="120"/>
      <c r="G33" s="118">
        <v>2524320</v>
      </c>
      <c r="H33" s="118">
        <f t="shared" ref="H33:H55" si="1">H32+F33-G33</f>
        <v>3845280</v>
      </c>
      <c r="I33" s="17"/>
    </row>
    <row r="34" spans="1:9" ht="29.25" customHeight="1">
      <c r="A34" s="55">
        <v>45555</v>
      </c>
      <c r="B34" s="55">
        <v>45555</v>
      </c>
      <c r="C34" s="27"/>
      <c r="D34" s="56" t="s">
        <v>300</v>
      </c>
      <c r="E34" s="57" t="s">
        <v>301</v>
      </c>
      <c r="F34" s="120"/>
      <c r="G34" s="118">
        <v>22000</v>
      </c>
      <c r="H34" s="118">
        <f t="shared" si="1"/>
        <v>3823280</v>
      </c>
      <c r="I34" s="17"/>
    </row>
    <row r="35" spans="1:9" ht="29.25" customHeight="1">
      <c r="A35" s="55">
        <v>45555</v>
      </c>
      <c r="B35" s="55">
        <v>45555</v>
      </c>
      <c r="C35" s="27"/>
      <c r="D35" s="56" t="s">
        <v>302</v>
      </c>
      <c r="E35" s="57" t="s">
        <v>303</v>
      </c>
      <c r="F35" s="120"/>
      <c r="G35" s="118">
        <v>1081620</v>
      </c>
      <c r="H35" s="118">
        <f t="shared" si="1"/>
        <v>2741660</v>
      </c>
      <c r="I35" s="17"/>
    </row>
    <row r="36" spans="1:9" ht="29.25" customHeight="1">
      <c r="A36" s="55">
        <v>45555</v>
      </c>
      <c r="B36" s="55">
        <v>45555</v>
      </c>
      <c r="C36" s="27"/>
      <c r="D36" s="56" t="s">
        <v>304</v>
      </c>
      <c r="E36" s="57" t="s">
        <v>305</v>
      </c>
      <c r="F36" s="120"/>
      <c r="G36" s="118">
        <v>22000</v>
      </c>
      <c r="H36" s="118">
        <f t="shared" si="1"/>
        <v>2719660</v>
      </c>
      <c r="I36" s="17"/>
    </row>
    <row r="37" spans="1:9" ht="20.25" customHeight="1">
      <c r="A37" s="55">
        <v>45555</v>
      </c>
      <c r="B37" s="55">
        <v>45555</v>
      </c>
      <c r="C37" s="27"/>
      <c r="D37" s="56" t="s">
        <v>306</v>
      </c>
      <c r="E37" s="57" t="s">
        <v>307</v>
      </c>
      <c r="F37" s="120"/>
      <c r="G37" s="118">
        <v>200000</v>
      </c>
      <c r="H37" s="118">
        <f t="shared" si="1"/>
        <v>2519660</v>
      </c>
      <c r="I37" s="17"/>
    </row>
    <row r="38" spans="1:9" ht="20.25" customHeight="1">
      <c r="A38" s="55">
        <v>45565</v>
      </c>
      <c r="B38" s="55">
        <v>45565</v>
      </c>
      <c r="C38" s="56" t="s">
        <v>308</v>
      </c>
      <c r="E38" s="57" t="s">
        <v>309</v>
      </c>
      <c r="F38" s="120">
        <v>1883700</v>
      </c>
      <c r="G38" s="118"/>
      <c r="H38" s="118">
        <f t="shared" si="1"/>
        <v>4403360</v>
      </c>
      <c r="I38" s="17"/>
    </row>
    <row r="39" spans="1:9" ht="20.25" customHeight="1">
      <c r="A39" s="55">
        <v>45576</v>
      </c>
      <c r="B39" s="55">
        <v>45576</v>
      </c>
      <c r="C39" s="27"/>
      <c r="D39" s="56" t="s">
        <v>310</v>
      </c>
      <c r="E39" s="57" t="s">
        <v>311</v>
      </c>
      <c r="F39" s="120"/>
      <c r="G39" s="118">
        <v>200000</v>
      </c>
      <c r="H39" s="118">
        <f t="shared" si="1"/>
        <v>4203360</v>
      </c>
      <c r="I39" s="17"/>
    </row>
    <row r="40" spans="1:9" ht="20.25" customHeight="1">
      <c r="A40" s="55">
        <v>45580</v>
      </c>
      <c r="B40" s="55">
        <v>45580</v>
      </c>
      <c r="C40" s="27"/>
      <c r="D40" s="56" t="s">
        <v>312</v>
      </c>
      <c r="E40" s="57" t="s">
        <v>313</v>
      </c>
      <c r="F40" s="120"/>
      <c r="G40" s="118">
        <v>200000</v>
      </c>
      <c r="H40" s="118">
        <f t="shared" si="1"/>
        <v>4003360</v>
      </c>
      <c r="I40" s="17"/>
    </row>
    <row r="41" spans="1:9" ht="20.25" customHeight="1">
      <c r="A41" s="55">
        <v>45581</v>
      </c>
      <c r="B41" s="55">
        <v>45581</v>
      </c>
      <c r="C41" s="56" t="s">
        <v>314</v>
      </c>
      <c r="E41" s="57" t="s">
        <v>222</v>
      </c>
      <c r="F41" s="120">
        <v>8500000</v>
      </c>
      <c r="G41" s="118"/>
      <c r="H41" s="118">
        <f t="shared" si="1"/>
        <v>12503360</v>
      </c>
      <c r="I41" s="17"/>
    </row>
    <row r="42" spans="1:9" ht="20.25" customHeight="1">
      <c r="A42" s="55">
        <v>45585</v>
      </c>
      <c r="B42" s="55">
        <v>45585</v>
      </c>
      <c r="C42" s="27"/>
      <c r="D42" s="56" t="s">
        <v>315</v>
      </c>
      <c r="E42" s="57" t="s">
        <v>316</v>
      </c>
      <c r="F42" s="118"/>
      <c r="G42" s="118">
        <v>3800000</v>
      </c>
      <c r="H42" s="118">
        <f t="shared" si="1"/>
        <v>8703360</v>
      </c>
      <c r="I42" s="17"/>
    </row>
    <row r="43" spans="1:9" ht="20.25" customHeight="1">
      <c r="A43" s="55">
        <v>45594</v>
      </c>
      <c r="B43" s="55">
        <v>45594</v>
      </c>
      <c r="C43" s="27"/>
      <c r="D43" s="56" t="s">
        <v>317</v>
      </c>
      <c r="E43" s="57" t="s">
        <v>318</v>
      </c>
      <c r="F43" s="118"/>
      <c r="G43" s="118">
        <v>200000</v>
      </c>
      <c r="H43" s="118">
        <f t="shared" si="1"/>
        <v>8503360</v>
      </c>
      <c r="I43" s="17"/>
    </row>
    <row r="44" spans="1:9" ht="20.25" customHeight="1">
      <c r="A44" s="55">
        <v>45596</v>
      </c>
      <c r="B44" s="55">
        <v>45596</v>
      </c>
      <c r="C44" s="56" t="s">
        <v>319</v>
      </c>
      <c r="E44" s="57" t="s">
        <v>320</v>
      </c>
      <c r="F44" s="118">
        <v>2801500</v>
      </c>
      <c r="G44" s="118"/>
      <c r="H44" s="118">
        <f t="shared" si="1"/>
        <v>11304860</v>
      </c>
      <c r="I44" s="17"/>
    </row>
    <row r="45" spans="1:9" ht="20.25" customHeight="1">
      <c r="A45" s="55">
        <v>45604</v>
      </c>
      <c r="B45" s="55">
        <v>45604</v>
      </c>
      <c r="C45" s="27"/>
      <c r="D45" s="56" t="s">
        <v>321</v>
      </c>
      <c r="E45" s="57" t="s">
        <v>291</v>
      </c>
      <c r="F45" s="118"/>
      <c r="G45" s="118">
        <v>690000</v>
      </c>
      <c r="H45" s="118">
        <f t="shared" si="1"/>
        <v>10614860</v>
      </c>
      <c r="I45" s="17"/>
    </row>
    <row r="46" spans="1:9" ht="20.25" customHeight="1">
      <c r="A46" s="55">
        <v>45618</v>
      </c>
      <c r="B46" s="55">
        <v>45618</v>
      </c>
      <c r="C46" s="27"/>
      <c r="D46" s="56" t="s">
        <v>322</v>
      </c>
      <c r="E46" s="57" t="s">
        <v>323</v>
      </c>
      <c r="F46" s="120"/>
      <c r="G46" s="120">
        <v>200000</v>
      </c>
      <c r="H46" s="118">
        <f t="shared" si="1"/>
        <v>10414860</v>
      </c>
      <c r="I46" s="17"/>
    </row>
    <row r="47" spans="1:9" ht="20.25" customHeight="1">
      <c r="A47" s="55">
        <v>45621</v>
      </c>
      <c r="B47" s="55">
        <v>45621</v>
      </c>
      <c r="C47" s="27"/>
      <c r="D47" s="56" t="s">
        <v>324</v>
      </c>
      <c r="E47" s="57" t="s">
        <v>166</v>
      </c>
      <c r="F47" s="120"/>
      <c r="G47" s="120">
        <v>200000</v>
      </c>
      <c r="H47" s="118">
        <f t="shared" si="1"/>
        <v>10214860</v>
      </c>
      <c r="I47" s="17"/>
    </row>
    <row r="48" spans="1:9" ht="20.25" customHeight="1">
      <c r="A48" s="55">
        <v>45626</v>
      </c>
      <c r="B48" s="55">
        <v>45626</v>
      </c>
      <c r="C48" s="56" t="s">
        <v>325</v>
      </c>
      <c r="E48" s="57" t="s">
        <v>326</v>
      </c>
      <c r="F48" s="120">
        <v>2748400</v>
      </c>
      <c r="G48" s="120"/>
      <c r="H48" s="118">
        <f t="shared" si="1"/>
        <v>12963260</v>
      </c>
      <c r="I48" s="17"/>
    </row>
    <row r="49" spans="1:9" ht="20.25" customHeight="1">
      <c r="A49" s="55">
        <v>45628</v>
      </c>
      <c r="B49" s="55">
        <v>45628</v>
      </c>
      <c r="C49" s="27"/>
      <c r="D49" s="56" t="s">
        <v>327</v>
      </c>
      <c r="E49" s="57" t="s">
        <v>328</v>
      </c>
      <c r="F49" s="120"/>
      <c r="G49" s="120">
        <v>200000</v>
      </c>
      <c r="H49" s="118">
        <f t="shared" si="1"/>
        <v>12763260</v>
      </c>
      <c r="I49" s="17"/>
    </row>
    <row r="50" spans="1:9" ht="20.25" customHeight="1">
      <c r="A50" s="55">
        <v>45633</v>
      </c>
      <c r="B50" s="55">
        <v>45633</v>
      </c>
      <c r="C50" s="27"/>
      <c r="D50" s="56" t="s">
        <v>329</v>
      </c>
      <c r="E50" s="57" t="s">
        <v>330</v>
      </c>
      <c r="F50" s="120"/>
      <c r="G50" s="120">
        <v>200000</v>
      </c>
      <c r="H50" s="118">
        <f t="shared" si="1"/>
        <v>12563260</v>
      </c>
      <c r="I50" s="17"/>
    </row>
    <row r="51" spans="1:9" ht="20.25" customHeight="1">
      <c r="A51" s="124">
        <v>45651</v>
      </c>
      <c r="B51" s="124">
        <v>45651</v>
      </c>
      <c r="C51" s="27"/>
      <c r="D51" s="121" t="s">
        <v>331</v>
      </c>
      <c r="E51" s="122" t="s">
        <v>332</v>
      </c>
      <c r="F51" s="123"/>
      <c r="G51" s="123">
        <v>200000</v>
      </c>
      <c r="H51" s="118">
        <f t="shared" si="1"/>
        <v>12363260</v>
      </c>
      <c r="I51" s="17"/>
    </row>
    <row r="52" spans="1:9" ht="20.25" customHeight="1">
      <c r="A52" s="55">
        <v>45656</v>
      </c>
      <c r="B52" s="55">
        <v>45656</v>
      </c>
      <c r="C52" s="27"/>
      <c r="D52" s="56" t="s">
        <v>333</v>
      </c>
      <c r="E52" s="57" t="s">
        <v>163</v>
      </c>
      <c r="F52" s="118"/>
      <c r="G52" s="118">
        <v>200000</v>
      </c>
      <c r="H52" s="118">
        <f t="shared" si="1"/>
        <v>12163260</v>
      </c>
      <c r="I52" s="17"/>
    </row>
    <row r="53" spans="1:9" ht="20.25" customHeight="1">
      <c r="A53" s="124">
        <v>45657</v>
      </c>
      <c r="B53" s="124">
        <v>45657</v>
      </c>
      <c r="C53" s="27"/>
      <c r="D53" s="121" t="s">
        <v>334</v>
      </c>
      <c r="E53" s="122" t="s">
        <v>335</v>
      </c>
      <c r="F53" s="123"/>
      <c r="G53" s="123">
        <v>10000000</v>
      </c>
      <c r="H53" s="118">
        <f t="shared" si="1"/>
        <v>2163260</v>
      </c>
      <c r="I53" s="17"/>
    </row>
    <row r="54" spans="1:9" ht="20.25" customHeight="1">
      <c r="A54" s="124">
        <v>45657</v>
      </c>
      <c r="B54" s="124">
        <v>45657</v>
      </c>
      <c r="C54" s="121" t="s">
        <v>325</v>
      </c>
      <c r="D54" s="121"/>
      <c r="E54" s="122" t="s">
        <v>336</v>
      </c>
      <c r="F54" s="123">
        <v>2748400</v>
      </c>
      <c r="G54" s="123"/>
      <c r="H54" s="118">
        <f t="shared" si="1"/>
        <v>4911660</v>
      </c>
      <c r="I54" s="17"/>
    </row>
    <row r="55" spans="1:9" ht="21.75" customHeight="1">
      <c r="A55" s="124">
        <v>45657</v>
      </c>
      <c r="B55" s="124">
        <v>45657</v>
      </c>
      <c r="C55" s="27"/>
      <c r="D55" s="121" t="s">
        <v>337</v>
      </c>
      <c r="E55" s="57" t="s">
        <v>338</v>
      </c>
      <c r="F55" s="60"/>
      <c r="G55" s="54">
        <f>5310000*0.2</f>
        <v>1062000</v>
      </c>
      <c r="H55" s="118">
        <f t="shared" si="1"/>
        <v>3849660</v>
      </c>
      <c r="I55" s="17"/>
    </row>
    <row r="56" spans="1:9" ht="21.75" customHeight="1">
      <c r="A56" s="124">
        <v>45657</v>
      </c>
      <c r="B56" s="124">
        <v>45657</v>
      </c>
      <c r="C56" s="27"/>
      <c r="D56" s="121" t="s">
        <v>339</v>
      </c>
      <c r="E56" s="57" t="s">
        <v>340</v>
      </c>
      <c r="F56" s="60"/>
      <c r="G56" s="54">
        <f>5310000*0.15</f>
        <v>796500</v>
      </c>
      <c r="H56" s="118">
        <f>H55+F56-G56</f>
        <v>3053160</v>
      </c>
      <c r="I56" s="17"/>
    </row>
    <row r="57" spans="1:9" ht="21.75" customHeight="1">
      <c r="A57" s="124">
        <v>45657</v>
      </c>
      <c r="B57" s="124">
        <v>45657</v>
      </c>
      <c r="C57" s="27"/>
      <c r="D57" s="121" t="s">
        <v>341</v>
      </c>
      <c r="E57" s="57" t="s">
        <v>342</v>
      </c>
      <c r="F57" s="60"/>
      <c r="G57" s="54">
        <f>5310000*0.14</f>
        <v>743400.00000000012</v>
      </c>
      <c r="H57" s="118">
        <f>H56+F57-G57</f>
        <v>2309760</v>
      </c>
      <c r="I57" s="17"/>
    </row>
    <row r="58" spans="1:9" ht="16.5">
      <c r="A58" s="2"/>
      <c r="B58" s="25"/>
      <c r="C58" s="27"/>
      <c r="D58" s="26"/>
      <c r="E58" s="97" t="s">
        <v>251</v>
      </c>
      <c r="F58" s="23">
        <f>SUM(F11:F57)</f>
        <v>28287400</v>
      </c>
      <c r="G58" s="23">
        <f>SUM(G11:G57)</f>
        <v>37126840</v>
      </c>
      <c r="H58" s="23"/>
      <c r="I58" s="17"/>
    </row>
    <row r="59" spans="1:9" ht="15.75">
      <c r="A59" s="2"/>
      <c r="B59" s="2"/>
      <c r="C59" s="98"/>
      <c r="D59" s="98"/>
      <c r="E59" s="99" t="s">
        <v>176</v>
      </c>
      <c r="F59" s="24"/>
      <c r="G59" s="24"/>
      <c r="H59" s="24">
        <f>H10+F58-G58</f>
        <v>2309760</v>
      </c>
      <c r="I59" s="2"/>
    </row>
    <row r="60" spans="1:9" ht="9.75" customHeight="1"/>
    <row r="61" spans="1:9" ht="15.75">
      <c r="B61" s="31"/>
      <c r="C61" s="31"/>
      <c r="D61" s="31"/>
      <c r="E61" s="31"/>
      <c r="F61" s="178" t="s">
        <v>343</v>
      </c>
      <c r="G61" s="178"/>
      <c r="H61" s="178"/>
      <c r="I61" s="178"/>
    </row>
    <row r="62" spans="1:9" ht="15.75">
      <c r="B62" s="31"/>
      <c r="C62" s="31"/>
      <c r="D62" s="31"/>
      <c r="E62" s="31"/>
      <c r="F62" s="178" t="s">
        <v>101</v>
      </c>
      <c r="G62" s="178"/>
      <c r="H62" s="178"/>
      <c r="I62" s="178"/>
    </row>
    <row r="63" spans="1:9" ht="15.75">
      <c r="B63" s="178" t="s">
        <v>77</v>
      </c>
      <c r="C63" s="178"/>
      <c r="D63" s="178"/>
      <c r="E63" s="32" t="s">
        <v>78</v>
      </c>
      <c r="F63" s="172" t="s">
        <v>252</v>
      </c>
      <c r="G63" s="172"/>
      <c r="H63" s="172"/>
      <c r="I63" s="172"/>
    </row>
    <row r="64" spans="1:9" ht="15.75">
      <c r="B64" s="178" t="s">
        <v>80</v>
      </c>
      <c r="C64" s="178"/>
      <c r="D64" s="178"/>
      <c r="E64" s="32" t="s">
        <v>80</v>
      </c>
      <c r="F64" s="178" t="s">
        <v>81</v>
      </c>
      <c r="G64" s="178"/>
      <c r="H64" s="178"/>
      <c r="I64" s="178"/>
    </row>
    <row r="65" spans="2:9" ht="15.75">
      <c r="B65" s="33"/>
      <c r="C65" s="33"/>
      <c r="D65" s="33"/>
      <c r="E65" s="33"/>
      <c r="F65" s="33"/>
      <c r="G65" s="33"/>
      <c r="H65" s="33"/>
    </row>
    <row r="66" spans="2:9" ht="16.5">
      <c r="B66" s="16"/>
      <c r="C66" s="16"/>
      <c r="D66" s="16"/>
      <c r="E66" s="16"/>
      <c r="F66" s="16"/>
      <c r="G66" s="16"/>
      <c r="H66" s="16"/>
    </row>
    <row r="67" spans="2:9" ht="16.5">
      <c r="B67" s="16"/>
      <c r="C67" s="16"/>
      <c r="D67" s="16"/>
      <c r="E67" s="16"/>
      <c r="F67" s="16"/>
      <c r="G67" s="16"/>
      <c r="H67" s="16"/>
    </row>
    <row r="68" spans="2:9" ht="16.5">
      <c r="B68" s="177" t="s">
        <v>344</v>
      </c>
      <c r="C68" s="177"/>
      <c r="D68" s="177"/>
      <c r="E68" s="62" t="s">
        <v>344</v>
      </c>
      <c r="F68" s="177" t="s">
        <v>345</v>
      </c>
      <c r="G68" s="177"/>
      <c r="H68" s="177"/>
      <c r="I68" s="177"/>
    </row>
    <row r="69" spans="2:9" ht="16.5">
      <c r="B69" s="16"/>
      <c r="C69" s="16"/>
      <c r="D69" s="16"/>
      <c r="E69" s="16"/>
      <c r="F69" s="16"/>
      <c r="G69" s="16"/>
      <c r="H69" s="16"/>
    </row>
    <row r="70" spans="2:9" ht="16.5">
      <c r="B70" s="16"/>
      <c r="C70" s="16"/>
      <c r="D70" s="16"/>
      <c r="E70" s="16"/>
      <c r="F70" s="16"/>
      <c r="G70" s="16"/>
      <c r="H70" s="16"/>
    </row>
  </sheetData>
  <mergeCells count="16">
    <mergeCell ref="B68:D68"/>
    <mergeCell ref="F68:I68"/>
    <mergeCell ref="F61:I61"/>
    <mergeCell ref="F62:I62"/>
    <mergeCell ref="B63:D63"/>
    <mergeCell ref="F63:I63"/>
    <mergeCell ref="B64:D64"/>
    <mergeCell ref="F64:I64"/>
    <mergeCell ref="B4:I4"/>
    <mergeCell ref="B5:I5"/>
    <mergeCell ref="A7:A8"/>
    <mergeCell ref="B7:B8"/>
    <mergeCell ref="C7:D7"/>
    <mergeCell ref="E7:E8"/>
    <mergeCell ref="F7:H7"/>
    <mergeCell ref="I7:I8"/>
  </mergeCells>
  <pageMargins left="0.31496062992125984" right="0.19685039370078741" top="0.19685039370078741" bottom="0.19685039370078741" header="0.16" footer="0.19685039370078741"/>
  <pageSetup paperSize="9" scale="6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L79"/>
  <sheetViews>
    <sheetView topLeftCell="A26" workbookViewId="0">
      <selection activeCell="D36" sqref="D36:F36"/>
    </sheetView>
  </sheetViews>
  <sheetFormatPr defaultColWidth="9.140625" defaultRowHeight="15"/>
  <cols>
    <col min="1" max="1" width="12.28515625" style="34" customWidth="1"/>
    <col min="2" max="2" width="11.85546875" style="34" customWidth="1"/>
    <col min="3" max="3" width="12" style="34" customWidth="1"/>
    <col min="4" max="5" width="14.140625" style="34" customWidth="1"/>
    <col min="6" max="6" width="14" style="34" customWidth="1"/>
    <col min="7" max="9" width="14.42578125" style="34" customWidth="1"/>
    <col min="10" max="10" width="9.140625" style="34"/>
    <col min="11" max="11" width="17.140625" style="34" customWidth="1"/>
    <col min="12" max="12" width="18.5703125" style="34" customWidth="1"/>
    <col min="13" max="256" width="9.140625" style="34"/>
    <col min="257" max="257" width="11.42578125" style="34" customWidth="1"/>
    <col min="258" max="258" width="11.85546875" style="34" customWidth="1"/>
    <col min="259" max="261" width="14.140625" style="34" customWidth="1"/>
    <col min="262" max="263" width="15.5703125" style="34" customWidth="1"/>
    <col min="264" max="264" width="14.85546875" style="34" customWidth="1"/>
    <col min="265" max="512" width="9.140625" style="34"/>
    <col min="513" max="513" width="11.42578125" style="34" customWidth="1"/>
    <col min="514" max="514" width="11.85546875" style="34" customWidth="1"/>
    <col min="515" max="517" width="14.140625" style="34" customWidth="1"/>
    <col min="518" max="519" width="15.5703125" style="34" customWidth="1"/>
    <col min="520" max="520" width="14.85546875" style="34" customWidth="1"/>
    <col min="521" max="768" width="9.140625" style="34"/>
    <col min="769" max="769" width="11.42578125" style="34" customWidth="1"/>
    <col min="770" max="770" width="11.85546875" style="34" customWidth="1"/>
    <col min="771" max="773" width="14.140625" style="34" customWidth="1"/>
    <col min="774" max="775" width="15.5703125" style="34" customWidth="1"/>
    <col min="776" max="776" width="14.85546875" style="34" customWidth="1"/>
    <col min="777" max="1024" width="9.140625" style="34"/>
    <col min="1025" max="1025" width="11.42578125" style="34" customWidth="1"/>
    <col min="1026" max="1026" width="11.85546875" style="34" customWidth="1"/>
    <col min="1027" max="1029" width="14.140625" style="34" customWidth="1"/>
    <col min="1030" max="1031" width="15.5703125" style="34" customWidth="1"/>
    <col min="1032" max="1032" width="14.85546875" style="34" customWidth="1"/>
    <col min="1033" max="1280" width="9.140625" style="34"/>
    <col min="1281" max="1281" width="11.42578125" style="34" customWidth="1"/>
    <col min="1282" max="1282" width="11.85546875" style="34" customWidth="1"/>
    <col min="1283" max="1285" width="14.140625" style="34" customWidth="1"/>
    <col min="1286" max="1287" width="15.5703125" style="34" customWidth="1"/>
    <col min="1288" max="1288" width="14.85546875" style="34" customWidth="1"/>
    <col min="1289" max="1536" width="9.140625" style="34"/>
    <col min="1537" max="1537" width="11.42578125" style="34" customWidth="1"/>
    <col min="1538" max="1538" width="11.85546875" style="34" customWidth="1"/>
    <col min="1539" max="1541" width="14.140625" style="34" customWidth="1"/>
    <col min="1542" max="1543" width="15.5703125" style="34" customWidth="1"/>
    <col min="1544" max="1544" width="14.85546875" style="34" customWidth="1"/>
    <col min="1545" max="1792" width="9.140625" style="34"/>
    <col min="1793" max="1793" width="11.42578125" style="34" customWidth="1"/>
    <col min="1794" max="1794" width="11.85546875" style="34" customWidth="1"/>
    <col min="1795" max="1797" width="14.140625" style="34" customWidth="1"/>
    <col min="1798" max="1799" width="15.5703125" style="34" customWidth="1"/>
    <col min="1800" max="1800" width="14.85546875" style="34" customWidth="1"/>
    <col min="1801" max="2048" width="9.140625" style="34"/>
    <col min="2049" max="2049" width="11.42578125" style="34" customWidth="1"/>
    <col min="2050" max="2050" width="11.85546875" style="34" customWidth="1"/>
    <col min="2051" max="2053" width="14.140625" style="34" customWidth="1"/>
    <col min="2054" max="2055" width="15.5703125" style="34" customWidth="1"/>
    <col min="2056" max="2056" width="14.85546875" style="34" customWidth="1"/>
    <col min="2057" max="2304" width="9.140625" style="34"/>
    <col min="2305" max="2305" width="11.42578125" style="34" customWidth="1"/>
    <col min="2306" max="2306" width="11.85546875" style="34" customWidth="1"/>
    <col min="2307" max="2309" width="14.140625" style="34" customWidth="1"/>
    <col min="2310" max="2311" width="15.5703125" style="34" customWidth="1"/>
    <col min="2312" max="2312" width="14.85546875" style="34" customWidth="1"/>
    <col min="2313" max="2560" width="9.140625" style="34"/>
    <col min="2561" max="2561" width="11.42578125" style="34" customWidth="1"/>
    <col min="2562" max="2562" width="11.85546875" style="34" customWidth="1"/>
    <col min="2563" max="2565" width="14.140625" style="34" customWidth="1"/>
    <col min="2566" max="2567" width="15.5703125" style="34" customWidth="1"/>
    <col min="2568" max="2568" width="14.85546875" style="34" customWidth="1"/>
    <col min="2569" max="2816" width="9.140625" style="34"/>
    <col min="2817" max="2817" width="11.42578125" style="34" customWidth="1"/>
    <col min="2818" max="2818" width="11.85546875" style="34" customWidth="1"/>
    <col min="2819" max="2821" width="14.140625" style="34" customWidth="1"/>
    <col min="2822" max="2823" width="15.5703125" style="34" customWidth="1"/>
    <col min="2824" max="2824" width="14.85546875" style="34" customWidth="1"/>
    <col min="2825" max="3072" width="9.140625" style="34"/>
    <col min="3073" max="3073" width="11.42578125" style="34" customWidth="1"/>
    <col min="3074" max="3074" width="11.85546875" style="34" customWidth="1"/>
    <col min="3075" max="3077" width="14.140625" style="34" customWidth="1"/>
    <col min="3078" max="3079" width="15.5703125" style="34" customWidth="1"/>
    <col min="3080" max="3080" width="14.85546875" style="34" customWidth="1"/>
    <col min="3081" max="3328" width="9.140625" style="34"/>
    <col min="3329" max="3329" width="11.42578125" style="34" customWidth="1"/>
    <col min="3330" max="3330" width="11.85546875" style="34" customWidth="1"/>
    <col min="3331" max="3333" width="14.140625" style="34" customWidth="1"/>
    <col min="3334" max="3335" width="15.5703125" style="34" customWidth="1"/>
    <col min="3336" max="3336" width="14.85546875" style="34" customWidth="1"/>
    <col min="3337" max="3584" width="9.140625" style="34"/>
    <col min="3585" max="3585" width="11.42578125" style="34" customWidth="1"/>
    <col min="3586" max="3586" width="11.85546875" style="34" customWidth="1"/>
    <col min="3587" max="3589" width="14.140625" style="34" customWidth="1"/>
    <col min="3590" max="3591" width="15.5703125" style="34" customWidth="1"/>
    <col min="3592" max="3592" width="14.85546875" style="34" customWidth="1"/>
    <col min="3593" max="3840" width="9.140625" style="34"/>
    <col min="3841" max="3841" width="11.42578125" style="34" customWidth="1"/>
    <col min="3842" max="3842" width="11.85546875" style="34" customWidth="1"/>
    <col min="3843" max="3845" width="14.140625" style="34" customWidth="1"/>
    <col min="3846" max="3847" width="15.5703125" style="34" customWidth="1"/>
    <col min="3848" max="3848" width="14.85546875" style="34" customWidth="1"/>
    <col min="3849" max="4096" width="9.140625" style="34"/>
    <col min="4097" max="4097" width="11.42578125" style="34" customWidth="1"/>
    <col min="4098" max="4098" width="11.85546875" style="34" customWidth="1"/>
    <col min="4099" max="4101" width="14.140625" style="34" customWidth="1"/>
    <col min="4102" max="4103" width="15.5703125" style="34" customWidth="1"/>
    <col min="4104" max="4104" width="14.85546875" style="34" customWidth="1"/>
    <col min="4105" max="4352" width="9.140625" style="34"/>
    <col min="4353" max="4353" width="11.42578125" style="34" customWidth="1"/>
    <col min="4354" max="4354" width="11.85546875" style="34" customWidth="1"/>
    <col min="4355" max="4357" width="14.140625" style="34" customWidth="1"/>
    <col min="4358" max="4359" width="15.5703125" style="34" customWidth="1"/>
    <col min="4360" max="4360" width="14.85546875" style="34" customWidth="1"/>
    <col min="4361" max="4608" width="9.140625" style="34"/>
    <col min="4609" max="4609" width="11.42578125" style="34" customWidth="1"/>
    <col min="4610" max="4610" width="11.85546875" style="34" customWidth="1"/>
    <col min="4611" max="4613" width="14.140625" style="34" customWidth="1"/>
    <col min="4614" max="4615" width="15.5703125" style="34" customWidth="1"/>
    <col min="4616" max="4616" width="14.85546875" style="34" customWidth="1"/>
    <col min="4617" max="4864" width="9.140625" style="34"/>
    <col min="4865" max="4865" width="11.42578125" style="34" customWidth="1"/>
    <col min="4866" max="4866" width="11.85546875" style="34" customWidth="1"/>
    <col min="4867" max="4869" width="14.140625" style="34" customWidth="1"/>
    <col min="4870" max="4871" width="15.5703125" style="34" customWidth="1"/>
    <col min="4872" max="4872" width="14.85546875" style="34" customWidth="1"/>
    <col min="4873" max="5120" width="9.140625" style="34"/>
    <col min="5121" max="5121" width="11.42578125" style="34" customWidth="1"/>
    <col min="5122" max="5122" width="11.85546875" style="34" customWidth="1"/>
    <col min="5123" max="5125" width="14.140625" style="34" customWidth="1"/>
    <col min="5126" max="5127" width="15.5703125" style="34" customWidth="1"/>
    <col min="5128" max="5128" width="14.85546875" style="34" customWidth="1"/>
    <col min="5129" max="5376" width="9.140625" style="34"/>
    <col min="5377" max="5377" width="11.42578125" style="34" customWidth="1"/>
    <col min="5378" max="5378" width="11.85546875" style="34" customWidth="1"/>
    <col min="5379" max="5381" width="14.140625" style="34" customWidth="1"/>
    <col min="5382" max="5383" width="15.5703125" style="34" customWidth="1"/>
    <col min="5384" max="5384" width="14.85546875" style="34" customWidth="1"/>
    <col min="5385" max="5632" width="9.140625" style="34"/>
    <col min="5633" max="5633" width="11.42578125" style="34" customWidth="1"/>
    <col min="5634" max="5634" width="11.85546875" style="34" customWidth="1"/>
    <col min="5635" max="5637" width="14.140625" style="34" customWidth="1"/>
    <col min="5638" max="5639" width="15.5703125" style="34" customWidth="1"/>
    <col min="5640" max="5640" width="14.85546875" style="34" customWidth="1"/>
    <col min="5641" max="5888" width="9.140625" style="34"/>
    <col min="5889" max="5889" width="11.42578125" style="34" customWidth="1"/>
    <col min="5890" max="5890" width="11.85546875" style="34" customWidth="1"/>
    <col min="5891" max="5893" width="14.140625" style="34" customWidth="1"/>
    <col min="5894" max="5895" width="15.5703125" style="34" customWidth="1"/>
    <col min="5896" max="5896" width="14.85546875" style="34" customWidth="1"/>
    <col min="5897" max="6144" width="9.140625" style="34"/>
    <col min="6145" max="6145" width="11.42578125" style="34" customWidth="1"/>
    <col min="6146" max="6146" width="11.85546875" style="34" customWidth="1"/>
    <col min="6147" max="6149" width="14.140625" style="34" customWidth="1"/>
    <col min="6150" max="6151" width="15.5703125" style="34" customWidth="1"/>
    <col min="6152" max="6152" width="14.85546875" style="34" customWidth="1"/>
    <col min="6153" max="6400" width="9.140625" style="34"/>
    <col min="6401" max="6401" width="11.42578125" style="34" customWidth="1"/>
    <col min="6402" max="6402" width="11.85546875" style="34" customWidth="1"/>
    <col min="6403" max="6405" width="14.140625" style="34" customWidth="1"/>
    <col min="6406" max="6407" width="15.5703125" style="34" customWidth="1"/>
    <col min="6408" max="6408" width="14.85546875" style="34" customWidth="1"/>
    <col min="6409" max="6656" width="9.140625" style="34"/>
    <col min="6657" max="6657" width="11.42578125" style="34" customWidth="1"/>
    <col min="6658" max="6658" width="11.85546875" style="34" customWidth="1"/>
    <col min="6659" max="6661" width="14.140625" style="34" customWidth="1"/>
    <col min="6662" max="6663" width="15.5703125" style="34" customWidth="1"/>
    <col min="6664" max="6664" width="14.85546875" style="34" customWidth="1"/>
    <col min="6665" max="6912" width="9.140625" style="34"/>
    <col min="6913" max="6913" width="11.42578125" style="34" customWidth="1"/>
    <col min="6914" max="6914" width="11.85546875" style="34" customWidth="1"/>
    <col min="6915" max="6917" width="14.140625" style="34" customWidth="1"/>
    <col min="6918" max="6919" width="15.5703125" style="34" customWidth="1"/>
    <col min="6920" max="6920" width="14.85546875" style="34" customWidth="1"/>
    <col min="6921" max="7168" width="9.140625" style="34"/>
    <col min="7169" max="7169" width="11.42578125" style="34" customWidth="1"/>
    <col min="7170" max="7170" width="11.85546875" style="34" customWidth="1"/>
    <col min="7171" max="7173" width="14.140625" style="34" customWidth="1"/>
    <col min="7174" max="7175" width="15.5703125" style="34" customWidth="1"/>
    <col min="7176" max="7176" width="14.85546875" style="34" customWidth="1"/>
    <col min="7177" max="7424" width="9.140625" style="34"/>
    <col min="7425" max="7425" width="11.42578125" style="34" customWidth="1"/>
    <col min="7426" max="7426" width="11.85546875" style="34" customWidth="1"/>
    <col min="7427" max="7429" width="14.140625" style="34" customWidth="1"/>
    <col min="7430" max="7431" width="15.5703125" style="34" customWidth="1"/>
    <col min="7432" max="7432" width="14.85546875" style="34" customWidth="1"/>
    <col min="7433" max="7680" width="9.140625" style="34"/>
    <col min="7681" max="7681" width="11.42578125" style="34" customWidth="1"/>
    <col min="7682" max="7682" width="11.85546875" style="34" customWidth="1"/>
    <col min="7683" max="7685" width="14.140625" style="34" customWidth="1"/>
    <col min="7686" max="7687" width="15.5703125" style="34" customWidth="1"/>
    <col min="7688" max="7688" width="14.85546875" style="34" customWidth="1"/>
    <col min="7689" max="7936" width="9.140625" style="34"/>
    <col min="7937" max="7937" width="11.42578125" style="34" customWidth="1"/>
    <col min="7938" max="7938" width="11.85546875" style="34" customWidth="1"/>
    <col min="7939" max="7941" width="14.140625" style="34" customWidth="1"/>
    <col min="7942" max="7943" width="15.5703125" style="34" customWidth="1"/>
    <col min="7944" max="7944" width="14.85546875" style="34" customWidth="1"/>
    <col min="7945" max="8192" width="9.140625" style="34"/>
    <col min="8193" max="8193" width="11.42578125" style="34" customWidth="1"/>
    <col min="8194" max="8194" width="11.85546875" style="34" customWidth="1"/>
    <col min="8195" max="8197" width="14.140625" style="34" customWidth="1"/>
    <col min="8198" max="8199" width="15.5703125" style="34" customWidth="1"/>
    <col min="8200" max="8200" width="14.85546875" style="34" customWidth="1"/>
    <col min="8201" max="8448" width="9.140625" style="34"/>
    <col min="8449" max="8449" width="11.42578125" style="34" customWidth="1"/>
    <col min="8450" max="8450" width="11.85546875" style="34" customWidth="1"/>
    <col min="8451" max="8453" width="14.140625" style="34" customWidth="1"/>
    <col min="8454" max="8455" width="15.5703125" style="34" customWidth="1"/>
    <col min="8456" max="8456" width="14.85546875" style="34" customWidth="1"/>
    <col min="8457" max="8704" width="9.140625" style="34"/>
    <col min="8705" max="8705" width="11.42578125" style="34" customWidth="1"/>
    <col min="8706" max="8706" width="11.85546875" style="34" customWidth="1"/>
    <col min="8707" max="8709" width="14.140625" style="34" customWidth="1"/>
    <col min="8710" max="8711" width="15.5703125" style="34" customWidth="1"/>
    <col min="8712" max="8712" width="14.85546875" style="34" customWidth="1"/>
    <col min="8713" max="8960" width="9.140625" style="34"/>
    <col min="8961" max="8961" width="11.42578125" style="34" customWidth="1"/>
    <col min="8962" max="8962" width="11.85546875" style="34" customWidth="1"/>
    <col min="8963" max="8965" width="14.140625" style="34" customWidth="1"/>
    <col min="8966" max="8967" width="15.5703125" style="34" customWidth="1"/>
    <col min="8968" max="8968" width="14.85546875" style="34" customWidth="1"/>
    <col min="8969" max="9216" width="9.140625" style="34"/>
    <col min="9217" max="9217" width="11.42578125" style="34" customWidth="1"/>
    <col min="9218" max="9218" width="11.85546875" style="34" customWidth="1"/>
    <col min="9219" max="9221" width="14.140625" style="34" customWidth="1"/>
    <col min="9222" max="9223" width="15.5703125" style="34" customWidth="1"/>
    <col min="9224" max="9224" width="14.85546875" style="34" customWidth="1"/>
    <col min="9225" max="9472" width="9.140625" style="34"/>
    <col min="9473" max="9473" width="11.42578125" style="34" customWidth="1"/>
    <col min="9474" max="9474" width="11.85546875" style="34" customWidth="1"/>
    <col min="9475" max="9477" width="14.140625" style="34" customWidth="1"/>
    <col min="9478" max="9479" width="15.5703125" style="34" customWidth="1"/>
    <col min="9480" max="9480" width="14.85546875" style="34" customWidth="1"/>
    <col min="9481" max="9728" width="9.140625" style="34"/>
    <col min="9729" max="9729" width="11.42578125" style="34" customWidth="1"/>
    <col min="9730" max="9730" width="11.85546875" style="34" customWidth="1"/>
    <col min="9731" max="9733" width="14.140625" style="34" customWidth="1"/>
    <col min="9734" max="9735" width="15.5703125" style="34" customWidth="1"/>
    <col min="9736" max="9736" width="14.85546875" style="34" customWidth="1"/>
    <col min="9737" max="9984" width="9.140625" style="34"/>
    <col min="9985" max="9985" width="11.42578125" style="34" customWidth="1"/>
    <col min="9986" max="9986" width="11.85546875" style="34" customWidth="1"/>
    <col min="9987" max="9989" width="14.140625" style="34" customWidth="1"/>
    <col min="9990" max="9991" width="15.5703125" style="34" customWidth="1"/>
    <col min="9992" max="9992" width="14.85546875" style="34" customWidth="1"/>
    <col min="9993" max="10240" width="9.140625" style="34"/>
    <col min="10241" max="10241" width="11.42578125" style="34" customWidth="1"/>
    <col min="10242" max="10242" width="11.85546875" style="34" customWidth="1"/>
    <col min="10243" max="10245" width="14.140625" style="34" customWidth="1"/>
    <col min="10246" max="10247" width="15.5703125" style="34" customWidth="1"/>
    <col min="10248" max="10248" width="14.85546875" style="34" customWidth="1"/>
    <col min="10249" max="10496" width="9.140625" style="34"/>
    <col min="10497" max="10497" width="11.42578125" style="34" customWidth="1"/>
    <col min="10498" max="10498" width="11.85546875" style="34" customWidth="1"/>
    <col min="10499" max="10501" width="14.140625" style="34" customWidth="1"/>
    <col min="10502" max="10503" width="15.5703125" style="34" customWidth="1"/>
    <col min="10504" max="10504" width="14.85546875" style="34" customWidth="1"/>
    <col min="10505" max="10752" width="9.140625" style="34"/>
    <col min="10753" max="10753" width="11.42578125" style="34" customWidth="1"/>
    <col min="10754" max="10754" width="11.85546875" style="34" customWidth="1"/>
    <col min="10755" max="10757" width="14.140625" style="34" customWidth="1"/>
    <col min="10758" max="10759" width="15.5703125" style="34" customWidth="1"/>
    <col min="10760" max="10760" width="14.85546875" style="34" customWidth="1"/>
    <col min="10761" max="11008" width="9.140625" style="34"/>
    <col min="11009" max="11009" width="11.42578125" style="34" customWidth="1"/>
    <col min="11010" max="11010" width="11.85546875" style="34" customWidth="1"/>
    <col min="11011" max="11013" width="14.140625" style="34" customWidth="1"/>
    <col min="11014" max="11015" width="15.5703125" style="34" customWidth="1"/>
    <col min="11016" max="11016" width="14.85546875" style="34" customWidth="1"/>
    <col min="11017" max="11264" width="9.140625" style="34"/>
    <col min="11265" max="11265" width="11.42578125" style="34" customWidth="1"/>
    <col min="11266" max="11266" width="11.85546875" style="34" customWidth="1"/>
    <col min="11267" max="11269" width="14.140625" style="34" customWidth="1"/>
    <col min="11270" max="11271" width="15.5703125" style="34" customWidth="1"/>
    <col min="11272" max="11272" width="14.85546875" style="34" customWidth="1"/>
    <col min="11273" max="11520" width="9.140625" style="34"/>
    <col min="11521" max="11521" width="11.42578125" style="34" customWidth="1"/>
    <col min="11522" max="11522" width="11.85546875" style="34" customWidth="1"/>
    <col min="11523" max="11525" width="14.140625" style="34" customWidth="1"/>
    <col min="11526" max="11527" width="15.5703125" style="34" customWidth="1"/>
    <col min="11528" max="11528" width="14.85546875" style="34" customWidth="1"/>
    <col min="11529" max="11776" width="9.140625" style="34"/>
    <col min="11777" max="11777" width="11.42578125" style="34" customWidth="1"/>
    <col min="11778" max="11778" width="11.85546875" style="34" customWidth="1"/>
    <col min="11779" max="11781" width="14.140625" style="34" customWidth="1"/>
    <col min="11782" max="11783" width="15.5703125" style="34" customWidth="1"/>
    <col min="11784" max="11784" width="14.85546875" style="34" customWidth="1"/>
    <col min="11785" max="12032" width="9.140625" style="34"/>
    <col min="12033" max="12033" width="11.42578125" style="34" customWidth="1"/>
    <col min="12034" max="12034" width="11.85546875" style="34" customWidth="1"/>
    <col min="12035" max="12037" width="14.140625" style="34" customWidth="1"/>
    <col min="12038" max="12039" width="15.5703125" style="34" customWidth="1"/>
    <col min="12040" max="12040" width="14.85546875" style="34" customWidth="1"/>
    <col min="12041" max="12288" width="9.140625" style="34"/>
    <col min="12289" max="12289" width="11.42578125" style="34" customWidth="1"/>
    <col min="12290" max="12290" width="11.85546875" style="34" customWidth="1"/>
    <col min="12291" max="12293" width="14.140625" style="34" customWidth="1"/>
    <col min="12294" max="12295" width="15.5703125" style="34" customWidth="1"/>
    <col min="12296" max="12296" width="14.85546875" style="34" customWidth="1"/>
    <col min="12297" max="12544" width="9.140625" style="34"/>
    <col min="12545" max="12545" width="11.42578125" style="34" customWidth="1"/>
    <col min="12546" max="12546" width="11.85546875" style="34" customWidth="1"/>
    <col min="12547" max="12549" width="14.140625" style="34" customWidth="1"/>
    <col min="12550" max="12551" width="15.5703125" style="34" customWidth="1"/>
    <col min="12552" max="12552" width="14.85546875" style="34" customWidth="1"/>
    <col min="12553" max="12800" width="9.140625" style="34"/>
    <col min="12801" max="12801" width="11.42578125" style="34" customWidth="1"/>
    <col min="12802" max="12802" width="11.85546875" style="34" customWidth="1"/>
    <col min="12803" max="12805" width="14.140625" style="34" customWidth="1"/>
    <col min="12806" max="12807" width="15.5703125" style="34" customWidth="1"/>
    <col min="12808" max="12808" width="14.85546875" style="34" customWidth="1"/>
    <col min="12809" max="13056" width="9.140625" style="34"/>
    <col min="13057" max="13057" width="11.42578125" style="34" customWidth="1"/>
    <col min="13058" max="13058" width="11.85546875" style="34" customWidth="1"/>
    <col min="13059" max="13061" width="14.140625" style="34" customWidth="1"/>
    <col min="13062" max="13063" width="15.5703125" style="34" customWidth="1"/>
    <col min="13064" max="13064" width="14.85546875" style="34" customWidth="1"/>
    <col min="13065" max="13312" width="9.140625" style="34"/>
    <col min="13313" max="13313" width="11.42578125" style="34" customWidth="1"/>
    <col min="13314" max="13314" width="11.85546875" style="34" customWidth="1"/>
    <col min="13315" max="13317" width="14.140625" style="34" customWidth="1"/>
    <col min="13318" max="13319" width="15.5703125" style="34" customWidth="1"/>
    <col min="13320" max="13320" width="14.85546875" style="34" customWidth="1"/>
    <col min="13321" max="13568" width="9.140625" style="34"/>
    <col min="13569" max="13569" width="11.42578125" style="34" customWidth="1"/>
    <col min="13570" max="13570" width="11.85546875" style="34" customWidth="1"/>
    <col min="13571" max="13573" width="14.140625" style="34" customWidth="1"/>
    <col min="13574" max="13575" width="15.5703125" style="34" customWidth="1"/>
    <col min="13576" max="13576" width="14.85546875" style="34" customWidth="1"/>
    <col min="13577" max="13824" width="9.140625" style="34"/>
    <col min="13825" max="13825" width="11.42578125" style="34" customWidth="1"/>
    <col min="13826" max="13826" width="11.85546875" style="34" customWidth="1"/>
    <col min="13827" max="13829" width="14.140625" style="34" customWidth="1"/>
    <col min="13830" max="13831" width="15.5703125" style="34" customWidth="1"/>
    <col min="13832" max="13832" width="14.85546875" style="34" customWidth="1"/>
    <col min="13833" max="14080" width="9.140625" style="34"/>
    <col min="14081" max="14081" width="11.42578125" style="34" customWidth="1"/>
    <col min="14082" max="14082" width="11.85546875" style="34" customWidth="1"/>
    <col min="14083" max="14085" width="14.140625" style="34" customWidth="1"/>
    <col min="14086" max="14087" width="15.5703125" style="34" customWidth="1"/>
    <col min="14088" max="14088" width="14.85546875" style="34" customWidth="1"/>
    <col min="14089" max="14336" width="9.140625" style="34"/>
    <col min="14337" max="14337" width="11.42578125" style="34" customWidth="1"/>
    <col min="14338" max="14338" width="11.85546875" style="34" customWidth="1"/>
    <col min="14339" max="14341" width="14.140625" style="34" customWidth="1"/>
    <col min="14342" max="14343" width="15.5703125" style="34" customWidth="1"/>
    <col min="14344" max="14344" width="14.85546875" style="34" customWidth="1"/>
    <col min="14345" max="14592" width="9.140625" style="34"/>
    <col min="14593" max="14593" width="11.42578125" style="34" customWidth="1"/>
    <col min="14594" max="14594" width="11.85546875" style="34" customWidth="1"/>
    <col min="14595" max="14597" width="14.140625" style="34" customWidth="1"/>
    <col min="14598" max="14599" width="15.5703125" style="34" customWidth="1"/>
    <col min="14600" max="14600" width="14.85546875" style="34" customWidth="1"/>
    <col min="14601" max="14848" width="9.140625" style="34"/>
    <col min="14849" max="14849" width="11.42578125" style="34" customWidth="1"/>
    <col min="14850" max="14850" width="11.85546875" style="34" customWidth="1"/>
    <col min="14851" max="14853" width="14.140625" style="34" customWidth="1"/>
    <col min="14854" max="14855" width="15.5703125" style="34" customWidth="1"/>
    <col min="14856" max="14856" width="14.85546875" style="34" customWidth="1"/>
    <col min="14857" max="15104" width="9.140625" style="34"/>
    <col min="15105" max="15105" width="11.42578125" style="34" customWidth="1"/>
    <col min="15106" max="15106" width="11.85546875" style="34" customWidth="1"/>
    <col min="15107" max="15109" width="14.140625" style="34" customWidth="1"/>
    <col min="15110" max="15111" width="15.5703125" style="34" customWidth="1"/>
    <col min="15112" max="15112" width="14.85546875" style="34" customWidth="1"/>
    <col min="15113" max="15360" width="9.140625" style="34"/>
    <col min="15361" max="15361" width="11.42578125" style="34" customWidth="1"/>
    <col min="15362" max="15362" width="11.85546875" style="34" customWidth="1"/>
    <col min="15363" max="15365" width="14.140625" style="34" customWidth="1"/>
    <col min="15366" max="15367" width="15.5703125" style="34" customWidth="1"/>
    <col min="15368" max="15368" width="14.85546875" style="34" customWidth="1"/>
    <col min="15369" max="15616" width="9.140625" style="34"/>
    <col min="15617" max="15617" width="11.42578125" style="34" customWidth="1"/>
    <col min="15618" max="15618" width="11.85546875" style="34" customWidth="1"/>
    <col min="15619" max="15621" width="14.140625" style="34" customWidth="1"/>
    <col min="15622" max="15623" width="15.5703125" style="34" customWidth="1"/>
    <col min="15624" max="15624" width="14.85546875" style="34" customWidth="1"/>
    <col min="15625" max="15872" width="9.140625" style="34"/>
    <col min="15873" max="15873" width="11.42578125" style="34" customWidth="1"/>
    <col min="15874" max="15874" width="11.85546875" style="34" customWidth="1"/>
    <col min="15875" max="15877" width="14.140625" style="34" customWidth="1"/>
    <col min="15878" max="15879" width="15.5703125" style="34" customWidth="1"/>
    <col min="15880" max="15880" width="14.85546875" style="34" customWidth="1"/>
    <col min="15881" max="16128" width="9.140625" style="34"/>
    <col min="16129" max="16129" width="11.42578125" style="34" customWidth="1"/>
    <col min="16130" max="16130" width="11.85546875" style="34" customWidth="1"/>
    <col min="16131" max="16133" width="14.140625" style="34" customWidth="1"/>
    <col min="16134" max="16135" width="15.5703125" style="34" customWidth="1"/>
    <col min="16136" max="16136" width="14.85546875" style="34" customWidth="1"/>
    <col min="16137" max="16384" width="9.140625" style="34"/>
  </cols>
  <sheetData>
    <row r="1" spans="1:11" ht="15.75">
      <c r="A1" s="46" t="s">
        <v>107</v>
      </c>
      <c r="B1" s="15"/>
      <c r="C1" s="15"/>
      <c r="D1" s="15"/>
      <c r="E1" s="15"/>
      <c r="H1" s="12" t="s">
        <v>68</v>
      </c>
      <c r="I1" s="15"/>
      <c r="J1" s="15"/>
    </row>
    <row r="2" spans="1:11" ht="15.75">
      <c r="A2" s="46" t="s">
        <v>115</v>
      </c>
      <c r="B2" s="15"/>
      <c r="C2" s="15"/>
      <c r="D2" s="15"/>
      <c r="E2" s="15"/>
      <c r="H2" s="28" t="s">
        <v>88</v>
      </c>
      <c r="I2" s="15"/>
      <c r="J2" s="15"/>
    </row>
    <row r="3" spans="1:11">
      <c r="A3" s="15"/>
      <c r="B3" s="15"/>
      <c r="C3" s="15"/>
      <c r="D3" s="15"/>
      <c r="E3" s="15"/>
      <c r="H3" s="29" t="s">
        <v>87</v>
      </c>
      <c r="I3" s="15"/>
      <c r="J3" s="15"/>
    </row>
    <row r="4" spans="1:11">
      <c r="A4" s="15"/>
      <c r="B4" s="15"/>
      <c r="C4" s="15"/>
      <c r="D4" s="15"/>
      <c r="E4" s="15"/>
      <c r="G4" s="29"/>
      <c r="H4" s="15"/>
      <c r="I4" s="15"/>
      <c r="J4" s="15"/>
    </row>
    <row r="5" spans="1:11" ht="25.15" customHeight="1">
      <c r="A5" s="174" t="s">
        <v>104</v>
      </c>
      <c r="B5" s="174"/>
      <c r="C5" s="174"/>
      <c r="D5" s="174"/>
      <c r="E5" s="174"/>
      <c r="F5" s="174"/>
      <c r="G5" s="174"/>
      <c r="H5" s="174"/>
      <c r="I5" s="174"/>
      <c r="J5" s="174"/>
    </row>
    <row r="6" spans="1:11" ht="18" customHeight="1">
      <c r="A6" s="174" t="s">
        <v>383</v>
      </c>
      <c r="B6" s="174"/>
      <c r="C6" s="174"/>
      <c r="D6" s="174"/>
      <c r="E6" s="174"/>
      <c r="F6" s="174"/>
      <c r="G6" s="174"/>
      <c r="H6" s="174"/>
      <c r="I6" s="174"/>
      <c r="J6" s="174"/>
    </row>
    <row r="7" spans="1:11" ht="13.9" hidden="1" customHeight="1">
      <c r="A7" s="75"/>
      <c r="B7" s="75"/>
      <c r="C7" s="75"/>
      <c r="D7" s="77" t="s">
        <v>216</v>
      </c>
      <c r="E7"/>
      <c r="F7"/>
      <c r="G7"/>
      <c r="H7" s="75"/>
      <c r="I7" s="75"/>
      <c r="J7" s="75"/>
    </row>
    <row r="8" spans="1:11" ht="13.9" hidden="1" customHeight="1">
      <c r="A8" s="75"/>
      <c r="B8" s="75"/>
      <c r="C8" s="75"/>
      <c r="D8" s="77" t="s">
        <v>217</v>
      </c>
      <c r="E8"/>
      <c r="F8"/>
      <c r="H8" s="75"/>
      <c r="I8" s="75"/>
      <c r="J8" s="75"/>
    </row>
    <row r="9" spans="1:11" ht="13.9" hidden="1" customHeight="1">
      <c r="A9" s="75"/>
      <c r="B9" s="75"/>
      <c r="C9" s="75"/>
      <c r="D9" s="77" t="s">
        <v>218</v>
      </c>
      <c r="E9"/>
      <c r="F9"/>
      <c r="H9" s="75"/>
      <c r="I9" s="75"/>
      <c r="J9" s="75"/>
    </row>
    <row r="10" spans="1:11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>
      <c r="A11" s="199" t="s">
        <v>95</v>
      </c>
      <c r="B11" s="193" t="s">
        <v>96</v>
      </c>
      <c r="C11" s="195"/>
      <c r="D11" s="201" t="s">
        <v>70</v>
      </c>
      <c r="E11" s="202"/>
      <c r="F11" s="202"/>
      <c r="G11" s="205" t="s">
        <v>71</v>
      </c>
      <c r="H11" s="205"/>
      <c r="I11" s="205"/>
      <c r="J11" s="206" t="s">
        <v>92</v>
      </c>
      <c r="K11" s="15"/>
    </row>
    <row r="12" spans="1:11">
      <c r="A12" s="200"/>
      <c r="B12" s="35" t="s">
        <v>89</v>
      </c>
      <c r="C12" s="35" t="s">
        <v>72</v>
      </c>
      <c r="D12" s="203"/>
      <c r="E12" s="204"/>
      <c r="F12" s="204"/>
      <c r="G12" s="35" t="s">
        <v>97</v>
      </c>
      <c r="H12" s="35" t="s">
        <v>98</v>
      </c>
      <c r="I12" s="35" t="s">
        <v>90</v>
      </c>
      <c r="J12" s="207"/>
      <c r="K12" s="15"/>
    </row>
    <row r="13" spans="1:11">
      <c r="A13" s="35" t="s">
        <v>83</v>
      </c>
      <c r="B13" s="35" t="s">
        <v>84</v>
      </c>
      <c r="C13" s="35" t="s">
        <v>85</v>
      </c>
      <c r="D13" s="193" t="s">
        <v>99</v>
      </c>
      <c r="E13" s="194"/>
      <c r="F13" s="195"/>
      <c r="G13" s="35">
        <v>1</v>
      </c>
      <c r="H13" s="35">
        <v>2</v>
      </c>
      <c r="I13" s="35">
        <v>3</v>
      </c>
      <c r="J13" s="35" t="s">
        <v>86</v>
      </c>
      <c r="K13" s="15"/>
    </row>
    <row r="14" spans="1:11" customFormat="1" ht="16.5">
      <c r="A14" s="20"/>
      <c r="B14" s="20"/>
      <c r="C14" s="20"/>
      <c r="D14" s="196" t="s">
        <v>94</v>
      </c>
      <c r="E14" s="197"/>
      <c r="F14" s="198"/>
      <c r="G14" s="19"/>
      <c r="H14" s="17"/>
      <c r="I14" s="53">
        <v>26510</v>
      </c>
      <c r="J14" s="2"/>
    </row>
    <row r="15" spans="1:11" ht="15.75">
      <c r="A15" s="76">
        <v>45322</v>
      </c>
      <c r="B15" s="37" t="s">
        <v>357</v>
      </c>
      <c r="C15" s="76">
        <v>45322</v>
      </c>
      <c r="D15" s="187" t="s">
        <v>180</v>
      </c>
      <c r="E15" s="188"/>
      <c r="F15" s="234"/>
      <c r="G15" s="38">
        <v>5</v>
      </c>
      <c r="H15" s="38"/>
      <c r="I15" s="38">
        <f>+I14+G15-H15</f>
        <v>26515</v>
      </c>
      <c r="J15" s="39"/>
    </row>
    <row r="16" spans="1:11" ht="15.75">
      <c r="A16" s="76">
        <v>45350</v>
      </c>
      <c r="B16" s="37" t="s">
        <v>358</v>
      </c>
      <c r="C16" s="76">
        <v>45350</v>
      </c>
      <c r="D16" s="187" t="s">
        <v>180</v>
      </c>
      <c r="E16" s="188"/>
      <c r="F16" s="234"/>
      <c r="G16" s="38">
        <v>4</v>
      </c>
      <c r="H16" s="38"/>
      <c r="I16" s="38">
        <f t="shared" ref="I16:I25" si="0">+I15+G16-H16</f>
        <v>26519</v>
      </c>
      <c r="J16" s="39"/>
    </row>
    <row r="17" spans="1:12" ht="15.75">
      <c r="A17" s="76">
        <v>45382</v>
      </c>
      <c r="B17" s="37" t="s">
        <v>359</v>
      </c>
      <c r="C17" s="76">
        <v>45382</v>
      </c>
      <c r="D17" s="187" t="s">
        <v>180</v>
      </c>
      <c r="E17" s="188"/>
      <c r="F17" s="234"/>
      <c r="G17" s="38">
        <v>5</v>
      </c>
      <c r="H17" s="38"/>
      <c r="I17" s="38">
        <f t="shared" si="0"/>
        <v>26524</v>
      </c>
      <c r="J17" s="39"/>
    </row>
    <row r="18" spans="1:12" ht="15.75">
      <c r="A18" s="76">
        <v>45412</v>
      </c>
      <c r="B18" s="37" t="s">
        <v>360</v>
      </c>
      <c r="C18" s="76">
        <v>45412</v>
      </c>
      <c r="D18" s="187" t="s">
        <v>180</v>
      </c>
      <c r="E18" s="188"/>
      <c r="F18" s="234"/>
      <c r="G18" s="38">
        <v>4</v>
      </c>
      <c r="H18" s="38"/>
      <c r="I18" s="38">
        <f t="shared" si="0"/>
        <v>26528</v>
      </c>
      <c r="J18" s="39"/>
    </row>
    <row r="19" spans="1:12" ht="15.75">
      <c r="A19" s="76">
        <v>45443</v>
      </c>
      <c r="B19" s="37" t="s">
        <v>361</v>
      </c>
      <c r="C19" s="76">
        <v>45443</v>
      </c>
      <c r="D19" s="187" t="s">
        <v>180</v>
      </c>
      <c r="E19" s="188"/>
      <c r="F19" s="234"/>
      <c r="G19" s="38">
        <v>5</v>
      </c>
      <c r="H19" s="38"/>
      <c r="I19" s="38">
        <f t="shared" si="0"/>
        <v>26533</v>
      </c>
      <c r="J19" s="39"/>
    </row>
    <row r="20" spans="1:12" ht="15.75">
      <c r="A20" s="76">
        <v>45473</v>
      </c>
      <c r="B20" s="37" t="s">
        <v>362</v>
      </c>
      <c r="C20" s="76">
        <v>45473</v>
      </c>
      <c r="D20" s="187" t="s">
        <v>180</v>
      </c>
      <c r="E20" s="188"/>
      <c r="F20" s="234"/>
      <c r="G20" s="38">
        <v>4</v>
      </c>
      <c r="H20" s="38"/>
      <c r="I20" s="38">
        <f t="shared" si="0"/>
        <v>26537</v>
      </c>
      <c r="J20" s="39"/>
    </row>
    <row r="21" spans="1:12" s="85" customFormat="1" ht="15.75">
      <c r="A21" s="83">
        <v>45504</v>
      </c>
      <c r="B21" s="37" t="s">
        <v>363</v>
      </c>
      <c r="C21" s="83">
        <v>45504</v>
      </c>
      <c r="D21" s="228" t="s">
        <v>180</v>
      </c>
      <c r="E21" s="229"/>
      <c r="F21" s="230"/>
      <c r="G21" s="84">
        <v>5</v>
      </c>
      <c r="H21" s="84"/>
      <c r="I21" s="84">
        <f t="shared" si="0"/>
        <v>26542</v>
      </c>
      <c r="J21" s="81"/>
      <c r="K21" s="85">
        <v>2023</v>
      </c>
      <c r="L21" s="85">
        <v>2024</v>
      </c>
    </row>
    <row r="22" spans="1:12" s="89" customFormat="1" ht="36.75" customHeight="1">
      <c r="A22" s="87">
        <v>45534</v>
      </c>
      <c r="B22" s="37" t="s">
        <v>364</v>
      </c>
      <c r="C22" s="87">
        <v>45534</v>
      </c>
      <c r="D22" s="231" t="s">
        <v>221</v>
      </c>
      <c r="E22" s="232"/>
      <c r="F22" s="233"/>
      <c r="G22" s="88">
        <v>14874300</v>
      </c>
      <c r="H22" s="88"/>
      <c r="I22" s="84">
        <f t="shared" si="0"/>
        <v>14900842</v>
      </c>
      <c r="J22" s="86"/>
    </row>
    <row r="23" spans="1:12" s="85" customFormat="1" ht="15.75">
      <c r="A23" s="83">
        <v>45535</v>
      </c>
      <c r="B23" s="37" t="s">
        <v>365</v>
      </c>
      <c r="C23" s="83">
        <v>45535</v>
      </c>
      <c r="D23" s="228" t="s">
        <v>180</v>
      </c>
      <c r="E23" s="229"/>
      <c r="F23" s="230"/>
      <c r="G23" s="84">
        <v>86</v>
      </c>
      <c r="H23" s="84"/>
      <c r="I23" s="84">
        <f t="shared" si="0"/>
        <v>14900928</v>
      </c>
      <c r="J23" s="81"/>
    </row>
    <row r="24" spans="1:12" s="85" customFormat="1" ht="15.75">
      <c r="A24" s="83">
        <v>45555</v>
      </c>
      <c r="B24" s="82" t="s">
        <v>297</v>
      </c>
      <c r="C24" s="83">
        <v>45555</v>
      </c>
      <c r="D24" s="228" t="s">
        <v>222</v>
      </c>
      <c r="E24" s="229"/>
      <c r="F24" s="230"/>
      <c r="G24" s="84"/>
      <c r="H24" s="84">
        <v>6000000</v>
      </c>
      <c r="I24" s="84">
        <f t="shared" si="0"/>
        <v>8900928</v>
      </c>
      <c r="J24" s="81"/>
    </row>
    <row r="25" spans="1:12" s="85" customFormat="1" ht="15.75">
      <c r="A25" s="83">
        <v>45565</v>
      </c>
      <c r="B25" s="37" t="s">
        <v>366</v>
      </c>
      <c r="C25" s="83">
        <v>45565</v>
      </c>
      <c r="D25" s="228" t="s">
        <v>180</v>
      </c>
      <c r="E25" s="229"/>
      <c r="F25" s="230"/>
      <c r="G25" s="84">
        <v>2121</v>
      </c>
      <c r="H25" s="84"/>
      <c r="I25" s="84">
        <f t="shared" si="0"/>
        <v>8903049</v>
      </c>
      <c r="J25" s="81"/>
    </row>
    <row r="26" spans="1:12" s="85" customFormat="1" ht="15.75">
      <c r="A26" s="90">
        <v>45581</v>
      </c>
      <c r="B26" s="82" t="s">
        <v>314</v>
      </c>
      <c r="C26" s="90">
        <v>45581</v>
      </c>
      <c r="D26" s="235" t="s">
        <v>222</v>
      </c>
      <c r="E26" s="236"/>
      <c r="F26" s="237"/>
      <c r="G26" s="132"/>
      <c r="H26" s="132">
        <v>8500000</v>
      </c>
      <c r="I26" s="84">
        <f>+I25+G26-H26</f>
        <v>403049</v>
      </c>
      <c r="J26" s="80"/>
    </row>
    <row r="27" spans="1:12" s="85" customFormat="1" ht="15.75">
      <c r="A27" s="90">
        <v>45581</v>
      </c>
      <c r="B27" s="82" t="s">
        <v>367</v>
      </c>
      <c r="C27" s="90">
        <v>45581</v>
      </c>
      <c r="D27" s="228" t="s">
        <v>223</v>
      </c>
      <c r="E27" s="229"/>
      <c r="F27" s="230"/>
      <c r="G27" s="84"/>
      <c r="H27" s="84">
        <v>220000</v>
      </c>
      <c r="I27" s="84">
        <f>+I26+G27-H27</f>
        <v>183049</v>
      </c>
      <c r="J27" s="81"/>
    </row>
    <row r="28" spans="1:12" s="85" customFormat="1" ht="15.75">
      <c r="A28" s="90">
        <v>45582</v>
      </c>
      <c r="B28" s="82" t="s">
        <v>368</v>
      </c>
      <c r="C28" s="90">
        <v>45582</v>
      </c>
      <c r="D28" s="228" t="s">
        <v>224</v>
      </c>
      <c r="E28" s="229"/>
      <c r="F28" s="230"/>
      <c r="G28" s="84"/>
      <c r="H28" s="84">
        <v>35000</v>
      </c>
      <c r="I28" s="84">
        <f>+I27+G28-H28</f>
        <v>148049</v>
      </c>
      <c r="J28" s="81"/>
    </row>
    <row r="29" spans="1:12" s="85" customFormat="1" ht="15.75">
      <c r="A29" s="90">
        <v>45582</v>
      </c>
      <c r="B29" s="82" t="s">
        <v>369</v>
      </c>
      <c r="C29" s="90">
        <v>45582</v>
      </c>
      <c r="D29" s="228" t="s">
        <v>225</v>
      </c>
      <c r="E29" s="229"/>
      <c r="F29" s="230"/>
      <c r="G29" s="84"/>
      <c r="H29" s="84">
        <v>3500</v>
      </c>
      <c r="I29" s="84">
        <f>+I28+G29-H29</f>
        <v>144549</v>
      </c>
      <c r="J29" s="81"/>
    </row>
    <row r="30" spans="1:12" s="85" customFormat="1" ht="15.75">
      <c r="A30" s="90">
        <v>45596</v>
      </c>
      <c r="B30" s="37" t="s">
        <v>370</v>
      </c>
      <c r="C30" s="90">
        <v>45596</v>
      </c>
      <c r="D30" s="228" t="s">
        <v>180</v>
      </c>
      <c r="E30" s="229"/>
      <c r="F30" s="230"/>
      <c r="G30" s="84">
        <v>793</v>
      </c>
      <c r="H30" s="84"/>
      <c r="I30" s="84">
        <f t="shared" ref="I30:I40" si="1">+I29+G30-H30</f>
        <v>145342</v>
      </c>
      <c r="J30" s="81"/>
    </row>
    <row r="31" spans="1:12" s="85" customFormat="1" ht="15.75">
      <c r="A31" s="90">
        <v>45613</v>
      </c>
      <c r="B31" s="82" t="s">
        <v>371</v>
      </c>
      <c r="C31" s="90">
        <v>45613</v>
      </c>
      <c r="D31" s="228" t="s">
        <v>229</v>
      </c>
      <c r="E31" s="229"/>
      <c r="F31" s="230"/>
      <c r="G31" s="84"/>
      <c r="H31" s="84">
        <v>35000</v>
      </c>
      <c r="I31" s="84">
        <f t="shared" si="1"/>
        <v>110342</v>
      </c>
      <c r="J31" s="81"/>
    </row>
    <row r="32" spans="1:12" s="85" customFormat="1" ht="15.75">
      <c r="A32" s="90">
        <v>45613</v>
      </c>
      <c r="B32" s="82" t="s">
        <v>372</v>
      </c>
      <c r="C32" s="90">
        <v>45613</v>
      </c>
      <c r="D32" s="228" t="s">
        <v>230</v>
      </c>
      <c r="E32" s="229"/>
      <c r="F32" s="230"/>
      <c r="G32" s="84"/>
      <c r="H32" s="84">
        <v>3500</v>
      </c>
      <c r="I32" s="84">
        <f t="shared" si="1"/>
        <v>106842</v>
      </c>
      <c r="J32" s="81"/>
    </row>
    <row r="33" spans="1:12" s="85" customFormat="1" ht="15.75">
      <c r="A33" s="90">
        <v>45625</v>
      </c>
      <c r="B33" s="37" t="s">
        <v>373</v>
      </c>
      <c r="C33" s="90">
        <v>45625</v>
      </c>
      <c r="D33" s="228" t="s">
        <v>226</v>
      </c>
      <c r="E33" s="229"/>
      <c r="F33" s="230"/>
      <c r="G33" s="84">
        <v>2825550</v>
      </c>
      <c r="H33" s="84"/>
      <c r="I33" s="84">
        <f t="shared" si="1"/>
        <v>2932392</v>
      </c>
      <c r="J33" s="81"/>
    </row>
    <row r="34" spans="1:12" s="85" customFormat="1" ht="15.75">
      <c r="A34" s="90">
        <v>45626</v>
      </c>
      <c r="B34" s="37" t="s">
        <v>374</v>
      </c>
      <c r="C34" s="90">
        <v>45626</v>
      </c>
      <c r="D34" s="228" t="s">
        <v>180</v>
      </c>
      <c r="E34" s="229"/>
      <c r="F34" s="230"/>
      <c r="G34" s="84">
        <v>37</v>
      </c>
      <c r="H34" s="84"/>
      <c r="I34" s="84">
        <f t="shared" si="1"/>
        <v>2932429</v>
      </c>
      <c r="J34" s="81"/>
    </row>
    <row r="35" spans="1:12" s="85" customFormat="1" ht="15.75">
      <c r="A35" s="83">
        <v>45628</v>
      </c>
      <c r="B35" s="82" t="s">
        <v>375</v>
      </c>
      <c r="C35" s="83">
        <v>45628</v>
      </c>
      <c r="D35" s="228" t="s">
        <v>227</v>
      </c>
      <c r="E35" s="229"/>
      <c r="F35" s="230"/>
      <c r="G35" s="84"/>
      <c r="H35" s="84">
        <v>565110</v>
      </c>
      <c r="I35" s="84">
        <f t="shared" si="1"/>
        <v>2367319</v>
      </c>
      <c r="J35" s="81"/>
    </row>
    <row r="36" spans="1:12" s="85" customFormat="1" ht="15.75">
      <c r="A36" s="83">
        <v>45628</v>
      </c>
      <c r="B36" s="82" t="s">
        <v>376</v>
      </c>
      <c r="C36" s="83">
        <v>45628</v>
      </c>
      <c r="D36" s="228" t="s">
        <v>228</v>
      </c>
      <c r="E36" s="229"/>
      <c r="F36" s="230"/>
      <c r="G36" s="84"/>
      <c r="H36" s="84">
        <v>840450</v>
      </c>
      <c r="I36" s="84">
        <f t="shared" si="1"/>
        <v>1526869</v>
      </c>
      <c r="J36" s="81"/>
    </row>
    <row r="37" spans="1:12" s="85" customFormat="1" ht="15.75">
      <c r="A37" s="90">
        <v>45643</v>
      </c>
      <c r="B37" s="82" t="s">
        <v>377</v>
      </c>
      <c r="C37" s="90">
        <v>45643</v>
      </c>
      <c r="D37" s="228" t="s">
        <v>231</v>
      </c>
      <c r="E37" s="229"/>
      <c r="F37" s="230"/>
      <c r="G37" s="84"/>
      <c r="H37" s="84">
        <v>35000</v>
      </c>
      <c r="I37" s="84">
        <f t="shared" si="1"/>
        <v>1491869</v>
      </c>
      <c r="J37" s="81"/>
    </row>
    <row r="38" spans="1:12" s="85" customFormat="1" ht="15.75">
      <c r="A38" s="90">
        <v>45643</v>
      </c>
      <c r="B38" s="82" t="s">
        <v>378</v>
      </c>
      <c r="C38" s="90">
        <v>45643</v>
      </c>
      <c r="D38" s="228" t="s">
        <v>232</v>
      </c>
      <c r="E38" s="229"/>
      <c r="F38" s="230"/>
      <c r="G38" s="84"/>
      <c r="H38" s="84">
        <v>3500</v>
      </c>
      <c r="I38" s="84">
        <f t="shared" si="1"/>
        <v>1488369</v>
      </c>
      <c r="J38" s="81"/>
    </row>
    <row r="39" spans="1:12" s="85" customFormat="1" ht="15.75">
      <c r="A39" s="90">
        <v>45656</v>
      </c>
      <c r="B39" s="37" t="s">
        <v>379</v>
      </c>
      <c r="C39" s="90">
        <v>45656</v>
      </c>
      <c r="D39" s="91" t="s">
        <v>233</v>
      </c>
      <c r="E39" s="92"/>
      <c r="F39" s="93"/>
      <c r="G39" s="84">
        <v>4202250</v>
      </c>
      <c r="H39" s="84"/>
      <c r="I39" s="84">
        <f t="shared" si="1"/>
        <v>5690619</v>
      </c>
      <c r="J39" s="81"/>
    </row>
    <row r="40" spans="1:12" s="85" customFormat="1" ht="15.75">
      <c r="A40" s="90">
        <v>45657</v>
      </c>
      <c r="B40" s="37" t="s">
        <v>380</v>
      </c>
      <c r="C40" s="90">
        <v>45657</v>
      </c>
      <c r="D40" s="228" t="s">
        <v>180</v>
      </c>
      <c r="E40" s="229"/>
      <c r="F40" s="230"/>
      <c r="G40" s="84">
        <v>295</v>
      </c>
      <c r="H40" s="84"/>
      <c r="I40" s="84">
        <f t="shared" si="1"/>
        <v>5690914</v>
      </c>
      <c r="J40" s="81"/>
    </row>
    <row r="41" spans="1:12" s="85" customFormat="1" ht="15.75">
      <c r="A41" s="90">
        <v>45657</v>
      </c>
      <c r="B41" s="82" t="s">
        <v>381</v>
      </c>
      <c r="C41" s="90">
        <v>45657</v>
      </c>
      <c r="D41" s="228" t="s">
        <v>234</v>
      </c>
      <c r="E41" s="229"/>
      <c r="F41" s="230"/>
      <c r="G41" s="84"/>
      <c r="H41" s="84">
        <v>824520</v>
      </c>
      <c r="I41" s="84">
        <f>+I40+G41-H41</f>
        <v>4866394</v>
      </c>
      <c r="J41" s="81"/>
    </row>
    <row r="42" spans="1:12" s="85" customFormat="1" ht="15.75">
      <c r="A42" s="90">
        <v>45657</v>
      </c>
      <c r="B42" s="82" t="s">
        <v>382</v>
      </c>
      <c r="C42" s="90">
        <v>45657</v>
      </c>
      <c r="D42" s="91" t="s">
        <v>235</v>
      </c>
      <c r="E42" s="92"/>
      <c r="F42" s="93"/>
      <c r="G42" s="84"/>
      <c r="H42" s="84">
        <v>824520</v>
      </c>
      <c r="I42" s="84">
        <f>+I41+G42-H42</f>
        <v>4041874</v>
      </c>
      <c r="J42" s="81"/>
    </row>
    <row r="43" spans="1:12" s="85" customFormat="1" ht="15.75">
      <c r="A43" s="81"/>
      <c r="B43" s="82"/>
      <c r="C43" s="83"/>
      <c r="D43" s="228"/>
      <c r="E43" s="229"/>
      <c r="F43" s="230"/>
      <c r="G43" s="84"/>
      <c r="H43" s="84"/>
      <c r="I43" s="84">
        <f>+I42+G43-H43</f>
        <v>4041874</v>
      </c>
      <c r="J43" s="81"/>
    </row>
    <row r="44" spans="1:12">
      <c r="A44" s="8"/>
      <c r="B44" s="8"/>
      <c r="C44" s="39"/>
      <c r="D44" s="193" t="s">
        <v>91</v>
      </c>
      <c r="E44" s="194"/>
      <c r="F44" s="195"/>
      <c r="G44" s="36">
        <f>SUM(G15:G43)</f>
        <v>21905464</v>
      </c>
      <c r="H44" s="36">
        <f>SUM(H15:H43)</f>
        <v>17890100</v>
      </c>
      <c r="I44" s="36"/>
      <c r="J44" s="39"/>
    </row>
    <row r="45" spans="1:12">
      <c r="A45" s="192" t="s">
        <v>176</v>
      </c>
      <c r="B45" s="192"/>
      <c r="C45" s="192"/>
      <c r="D45" s="192"/>
      <c r="E45" s="192"/>
      <c r="F45" s="192"/>
      <c r="G45" s="36"/>
      <c r="H45" s="36"/>
      <c r="I45" s="36">
        <f>I14+G44-H44</f>
        <v>4041874</v>
      </c>
      <c r="J45" s="39"/>
      <c r="L45" s="96">
        <f>I45+4122600</f>
        <v>8164474</v>
      </c>
    </row>
    <row r="46" spans="1:12" ht="15.75">
      <c r="A46" s="78"/>
      <c r="B46" s="134" t="s">
        <v>385</v>
      </c>
      <c r="C46" s="78"/>
      <c r="D46" s="78"/>
      <c r="E46" s="78"/>
      <c r="F46" s="78"/>
      <c r="G46" s="79"/>
      <c r="H46" s="79"/>
      <c r="I46" s="79"/>
      <c r="J46" s="15"/>
    </row>
    <row r="47" spans="1:12" ht="15.75">
      <c r="A47" s="78"/>
      <c r="B47" s="134" t="s">
        <v>386</v>
      </c>
      <c r="C47" s="78"/>
      <c r="D47" s="78"/>
      <c r="E47" s="78"/>
      <c r="F47" s="78"/>
      <c r="G47" s="79"/>
      <c r="H47" s="79"/>
      <c r="I47" s="79"/>
      <c r="J47" s="15"/>
    </row>
    <row r="48" spans="1:12">
      <c r="A48" s="15"/>
      <c r="B48" s="15"/>
      <c r="C48" s="15"/>
      <c r="D48" s="15"/>
      <c r="E48" s="15"/>
      <c r="H48" s="67" t="s">
        <v>354</v>
      </c>
      <c r="I48" s="15"/>
      <c r="J48" s="15"/>
    </row>
    <row r="49" spans="1:11">
      <c r="A49" s="15"/>
      <c r="B49" s="222" t="s">
        <v>219</v>
      </c>
      <c r="C49" s="222"/>
      <c r="D49" s="222" t="s">
        <v>78</v>
      </c>
      <c r="E49" s="222"/>
      <c r="F49" s="222"/>
      <c r="G49" s="12"/>
      <c r="H49" s="12" t="s">
        <v>220</v>
      </c>
      <c r="I49" s="15"/>
      <c r="J49" s="15"/>
    </row>
    <row r="50" spans="1:11">
      <c r="A50" s="15"/>
      <c r="B50" s="238" t="s">
        <v>80</v>
      </c>
      <c r="C50" s="238"/>
      <c r="D50" s="238" t="s">
        <v>80</v>
      </c>
      <c r="E50" s="238"/>
      <c r="F50" s="238"/>
      <c r="H50" s="133" t="s">
        <v>81</v>
      </c>
      <c r="I50" s="15"/>
      <c r="J50" s="15"/>
    </row>
    <row r="51" spans="1:1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spans="1:1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spans="1:1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spans="1:1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spans="1:1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spans="1:11">
      <c r="A56" s="15"/>
      <c r="B56" s="186" t="s">
        <v>384</v>
      </c>
      <c r="C56" s="186"/>
      <c r="D56" s="186" t="s">
        <v>384</v>
      </c>
      <c r="E56" s="186"/>
      <c r="F56" s="186"/>
      <c r="G56" s="186" t="s">
        <v>173</v>
      </c>
      <c r="H56" s="186"/>
      <c r="I56" s="186"/>
      <c r="J56" s="15"/>
    </row>
    <row r="57" spans="1:1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9" spans="1:11">
      <c r="K59" s="96">
        <f>I45+'[1]2024'!$G$63</f>
        <v>6351634</v>
      </c>
    </row>
    <row r="60" spans="1:11">
      <c r="H60" s="34" t="s">
        <v>246</v>
      </c>
      <c r="I60" s="96">
        <f>G40+G34+G30+G25+G23+G21+G20+G19+G18+G17+G16+G15</f>
        <v>3364</v>
      </c>
    </row>
    <row r="61" spans="1:11">
      <c r="H61" s="34" t="s">
        <v>245</v>
      </c>
      <c r="I61" s="96">
        <f>G39+G33+G22</f>
        <v>21902100</v>
      </c>
    </row>
    <row r="62" spans="1:11">
      <c r="H62" s="34" t="s">
        <v>244</v>
      </c>
      <c r="I62" s="96">
        <f>H38+H37+H32+H31+H29+H28+H27</f>
        <v>335500</v>
      </c>
    </row>
    <row r="63" spans="1:11">
      <c r="H63" s="34" t="s">
        <v>247</v>
      </c>
      <c r="I63" s="96">
        <f>H35+H36+H41+H42</f>
        <v>3054600</v>
      </c>
    </row>
    <row r="64" spans="1:11">
      <c r="I64" s="96"/>
    </row>
    <row r="65" spans="8:8">
      <c r="H65" s="96">
        <v>220000</v>
      </c>
    </row>
    <row r="66" spans="8:8">
      <c r="H66" s="96">
        <v>35000</v>
      </c>
    </row>
    <row r="67" spans="8:8">
      <c r="H67" s="96">
        <v>3500</v>
      </c>
    </row>
    <row r="68" spans="8:8">
      <c r="H68" s="96">
        <v>35000</v>
      </c>
    </row>
    <row r="69" spans="8:8">
      <c r="H69" s="96">
        <v>3500</v>
      </c>
    </row>
    <row r="70" spans="8:8">
      <c r="H70" s="96">
        <v>565110</v>
      </c>
    </row>
    <row r="71" spans="8:8">
      <c r="H71" s="96">
        <v>840450</v>
      </c>
    </row>
    <row r="72" spans="8:8">
      <c r="H72" s="96">
        <v>35000</v>
      </c>
    </row>
    <row r="73" spans="8:8">
      <c r="H73" s="96">
        <v>3500</v>
      </c>
    </row>
    <row r="74" spans="8:8">
      <c r="H74" s="96">
        <v>824520</v>
      </c>
    </row>
    <row r="75" spans="8:8">
      <c r="H75" s="96">
        <v>824520</v>
      </c>
    </row>
    <row r="76" spans="8:8">
      <c r="H76" s="96"/>
    </row>
    <row r="77" spans="8:8">
      <c r="H77" s="96"/>
    </row>
    <row r="78" spans="8:8">
      <c r="H78" s="96"/>
    </row>
    <row r="79" spans="8:8">
      <c r="H79" s="96"/>
    </row>
  </sheetData>
  <autoFilter ref="A11:J50" xr:uid="{00000000-0009-0000-0000-000007000000}">
    <filterColumn colId="1" showButton="0"/>
    <filterColumn colId="3" showButton="0"/>
    <filterColumn colId="4" showButton="0"/>
    <filterColumn colId="6" showButton="0"/>
    <filterColumn colId="7" showButton="0"/>
  </autoFilter>
  <mergeCells count="45">
    <mergeCell ref="G56:I56"/>
    <mergeCell ref="A45:F45"/>
    <mergeCell ref="D49:F49"/>
    <mergeCell ref="D50:F50"/>
    <mergeCell ref="D56:F56"/>
    <mergeCell ref="B49:C49"/>
    <mergeCell ref="B50:C50"/>
    <mergeCell ref="B56:C56"/>
    <mergeCell ref="J11:J12"/>
    <mergeCell ref="A5:J5"/>
    <mergeCell ref="B11:C11"/>
    <mergeCell ref="A6:J6"/>
    <mergeCell ref="A11:A12"/>
    <mergeCell ref="D11:F12"/>
    <mergeCell ref="G11:I11"/>
    <mergeCell ref="D44:F44"/>
    <mergeCell ref="D15:F15"/>
    <mergeCell ref="D14:F14"/>
    <mergeCell ref="D16:F16"/>
    <mergeCell ref="D17:F17"/>
    <mergeCell ref="D18:F18"/>
    <mergeCell ref="D24:F24"/>
    <mergeCell ref="D27:F27"/>
    <mergeCell ref="D43:F43"/>
    <mergeCell ref="D26:F26"/>
    <mergeCell ref="D25:F25"/>
    <mergeCell ref="D23:F23"/>
    <mergeCell ref="D28:F28"/>
    <mergeCell ref="D29:F29"/>
    <mergeCell ref="D30:F30"/>
    <mergeCell ref="D37:F37"/>
    <mergeCell ref="D40:F40"/>
    <mergeCell ref="D41:F41"/>
    <mergeCell ref="D38:F38"/>
    <mergeCell ref="D13:F13"/>
    <mergeCell ref="D22:F22"/>
    <mergeCell ref="D21:F21"/>
    <mergeCell ref="D19:F19"/>
    <mergeCell ref="D20:F20"/>
    <mergeCell ref="D36:F36"/>
    <mergeCell ref="D31:F31"/>
    <mergeCell ref="D32:F32"/>
    <mergeCell ref="D34:F34"/>
    <mergeCell ref="D35:F35"/>
    <mergeCell ref="D33:F33"/>
  </mergeCells>
  <printOptions horizontalCentered="1"/>
  <pageMargins left="0" right="0" top="0" bottom="0" header="0.31496062992125984" footer="0.31496062992125984"/>
  <pageSetup paperSize="9" scale="6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E38"/>
  <sheetViews>
    <sheetView topLeftCell="A11" workbookViewId="0">
      <selection activeCell="D1" sqref="A1:D38"/>
    </sheetView>
  </sheetViews>
  <sheetFormatPr defaultRowHeight="16.5"/>
  <cols>
    <col min="1" max="1" width="8.42578125" style="102" customWidth="1"/>
    <col min="2" max="2" width="27.28515625" style="102" customWidth="1"/>
    <col min="3" max="3" width="28.28515625" style="102" customWidth="1"/>
    <col min="4" max="4" width="31" style="102" customWidth="1"/>
    <col min="5" max="5" width="78.85546875" style="103" bestFit="1" customWidth="1"/>
    <col min="6" max="256" width="9.140625" style="102"/>
    <col min="257" max="257" width="8.42578125" style="102" customWidth="1"/>
    <col min="258" max="258" width="27.28515625" style="102" customWidth="1"/>
    <col min="259" max="259" width="28.28515625" style="102" customWidth="1"/>
    <col min="260" max="260" width="31" style="102" customWidth="1"/>
    <col min="261" max="261" width="78.85546875" style="102" bestFit="1" customWidth="1"/>
    <col min="262" max="512" width="9.140625" style="102"/>
    <col min="513" max="513" width="8.42578125" style="102" customWidth="1"/>
    <col min="514" max="514" width="27.28515625" style="102" customWidth="1"/>
    <col min="515" max="515" width="28.28515625" style="102" customWidth="1"/>
    <col min="516" max="516" width="31" style="102" customWidth="1"/>
    <col min="517" max="517" width="78.85546875" style="102" bestFit="1" customWidth="1"/>
    <col min="518" max="768" width="9.140625" style="102"/>
    <col min="769" max="769" width="8.42578125" style="102" customWidth="1"/>
    <col min="770" max="770" width="27.28515625" style="102" customWidth="1"/>
    <col min="771" max="771" width="28.28515625" style="102" customWidth="1"/>
    <col min="772" max="772" width="31" style="102" customWidth="1"/>
    <col min="773" max="773" width="78.85546875" style="102" bestFit="1" customWidth="1"/>
    <col min="774" max="1024" width="9.140625" style="102"/>
    <col min="1025" max="1025" width="8.42578125" style="102" customWidth="1"/>
    <col min="1026" max="1026" width="27.28515625" style="102" customWidth="1"/>
    <col min="1027" max="1027" width="28.28515625" style="102" customWidth="1"/>
    <col min="1028" max="1028" width="31" style="102" customWidth="1"/>
    <col min="1029" max="1029" width="78.85546875" style="102" bestFit="1" customWidth="1"/>
    <col min="1030" max="1280" width="9.140625" style="102"/>
    <col min="1281" max="1281" width="8.42578125" style="102" customWidth="1"/>
    <col min="1282" max="1282" width="27.28515625" style="102" customWidth="1"/>
    <col min="1283" max="1283" width="28.28515625" style="102" customWidth="1"/>
    <col min="1284" max="1284" width="31" style="102" customWidth="1"/>
    <col min="1285" max="1285" width="78.85546875" style="102" bestFit="1" customWidth="1"/>
    <col min="1286" max="1536" width="9.140625" style="102"/>
    <col min="1537" max="1537" width="8.42578125" style="102" customWidth="1"/>
    <col min="1538" max="1538" width="27.28515625" style="102" customWidth="1"/>
    <col min="1539" max="1539" width="28.28515625" style="102" customWidth="1"/>
    <col min="1540" max="1540" width="31" style="102" customWidth="1"/>
    <col min="1541" max="1541" width="78.85546875" style="102" bestFit="1" customWidth="1"/>
    <col min="1542" max="1792" width="9.140625" style="102"/>
    <col min="1793" max="1793" width="8.42578125" style="102" customWidth="1"/>
    <col min="1794" max="1794" width="27.28515625" style="102" customWidth="1"/>
    <col min="1795" max="1795" width="28.28515625" style="102" customWidth="1"/>
    <col min="1796" max="1796" width="31" style="102" customWidth="1"/>
    <col min="1797" max="1797" width="78.85546875" style="102" bestFit="1" customWidth="1"/>
    <col min="1798" max="2048" width="9.140625" style="102"/>
    <col min="2049" max="2049" width="8.42578125" style="102" customWidth="1"/>
    <col min="2050" max="2050" width="27.28515625" style="102" customWidth="1"/>
    <col min="2051" max="2051" width="28.28515625" style="102" customWidth="1"/>
    <col min="2052" max="2052" width="31" style="102" customWidth="1"/>
    <col min="2053" max="2053" width="78.85546875" style="102" bestFit="1" customWidth="1"/>
    <col min="2054" max="2304" width="9.140625" style="102"/>
    <col min="2305" max="2305" width="8.42578125" style="102" customWidth="1"/>
    <col min="2306" max="2306" width="27.28515625" style="102" customWidth="1"/>
    <col min="2307" max="2307" width="28.28515625" style="102" customWidth="1"/>
    <col min="2308" max="2308" width="31" style="102" customWidth="1"/>
    <col min="2309" max="2309" width="78.85546875" style="102" bestFit="1" customWidth="1"/>
    <col min="2310" max="2560" width="9.140625" style="102"/>
    <col min="2561" max="2561" width="8.42578125" style="102" customWidth="1"/>
    <col min="2562" max="2562" width="27.28515625" style="102" customWidth="1"/>
    <col min="2563" max="2563" width="28.28515625" style="102" customWidth="1"/>
    <col min="2564" max="2564" width="31" style="102" customWidth="1"/>
    <col min="2565" max="2565" width="78.85546875" style="102" bestFit="1" customWidth="1"/>
    <col min="2566" max="2816" width="9.140625" style="102"/>
    <col min="2817" max="2817" width="8.42578125" style="102" customWidth="1"/>
    <col min="2818" max="2818" width="27.28515625" style="102" customWidth="1"/>
    <col min="2819" max="2819" width="28.28515625" style="102" customWidth="1"/>
    <col min="2820" max="2820" width="31" style="102" customWidth="1"/>
    <col min="2821" max="2821" width="78.85546875" style="102" bestFit="1" customWidth="1"/>
    <col min="2822" max="3072" width="9.140625" style="102"/>
    <col min="3073" max="3073" width="8.42578125" style="102" customWidth="1"/>
    <col min="3074" max="3074" width="27.28515625" style="102" customWidth="1"/>
    <col min="3075" max="3075" width="28.28515625" style="102" customWidth="1"/>
    <col min="3076" max="3076" width="31" style="102" customWidth="1"/>
    <col min="3077" max="3077" width="78.85546875" style="102" bestFit="1" customWidth="1"/>
    <col min="3078" max="3328" width="9.140625" style="102"/>
    <col min="3329" max="3329" width="8.42578125" style="102" customWidth="1"/>
    <col min="3330" max="3330" width="27.28515625" style="102" customWidth="1"/>
    <col min="3331" max="3331" width="28.28515625" style="102" customWidth="1"/>
    <col min="3332" max="3332" width="31" style="102" customWidth="1"/>
    <col min="3333" max="3333" width="78.85546875" style="102" bestFit="1" customWidth="1"/>
    <col min="3334" max="3584" width="9.140625" style="102"/>
    <col min="3585" max="3585" width="8.42578125" style="102" customWidth="1"/>
    <col min="3586" max="3586" width="27.28515625" style="102" customWidth="1"/>
    <col min="3587" max="3587" width="28.28515625" style="102" customWidth="1"/>
    <col min="3588" max="3588" width="31" style="102" customWidth="1"/>
    <col min="3589" max="3589" width="78.85546875" style="102" bestFit="1" customWidth="1"/>
    <col min="3590" max="3840" width="9.140625" style="102"/>
    <col min="3841" max="3841" width="8.42578125" style="102" customWidth="1"/>
    <col min="3842" max="3842" width="27.28515625" style="102" customWidth="1"/>
    <col min="3843" max="3843" width="28.28515625" style="102" customWidth="1"/>
    <col min="3844" max="3844" width="31" style="102" customWidth="1"/>
    <col min="3845" max="3845" width="78.85546875" style="102" bestFit="1" customWidth="1"/>
    <col min="3846" max="4096" width="9.140625" style="102"/>
    <col min="4097" max="4097" width="8.42578125" style="102" customWidth="1"/>
    <col min="4098" max="4098" width="27.28515625" style="102" customWidth="1"/>
    <col min="4099" max="4099" width="28.28515625" style="102" customWidth="1"/>
    <col min="4100" max="4100" width="31" style="102" customWidth="1"/>
    <col min="4101" max="4101" width="78.85546875" style="102" bestFit="1" customWidth="1"/>
    <col min="4102" max="4352" width="9.140625" style="102"/>
    <col min="4353" max="4353" width="8.42578125" style="102" customWidth="1"/>
    <col min="4354" max="4354" width="27.28515625" style="102" customWidth="1"/>
    <col min="4355" max="4355" width="28.28515625" style="102" customWidth="1"/>
    <col min="4356" max="4356" width="31" style="102" customWidth="1"/>
    <col min="4357" max="4357" width="78.85546875" style="102" bestFit="1" customWidth="1"/>
    <col min="4358" max="4608" width="9.140625" style="102"/>
    <col min="4609" max="4609" width="8.42578125" style="102" customWidth="1"/>
    <col min="4610" max="4610" width="27.28515625" style="102" customWidth="1"/>
    <col min="4611" max="4611" width="28.28515625" style="102" customWidth="1"/>
    <col min="4612" max="4612" width="31" style="102" customWidth="1"/>
    <col min="4613" max="4613" width="78.85546875" style="102" bestFit="1" customWidth="1"/>
    <col min="4614" max="4864" width="9.140625" style="102"/>
    <col min="4865" max="4865" width="8.42578125" style="102" customWidth="1"/>
    <col min="4866" max="4866" width="27.28515625" style="102" customWidth="1"/>
    <col min="4867" max="4867" width="28.28515625" style="102" customWidth="1"/>
    <col min="4868" max="4868" width="31" style="102" customWidth="1"/>
    <col min="4869" max="4869" width="78.85546875" style="102" bestFit="1" customWidth="1"/>
    <col min="4870" max="5120" width="9.140625" style="102"/>
    <col min="5121" max="5121" width="8.42578125" style="102" customWidth="1"/>
    <col min="5122" max="5122" width="27.28515625" style="102" customWidth="1"/>
    <col min="5123" max="5123" width="28.28515625" style="102" customWidth="1"/>
    <col min="5124" max="5124" width="31" style="102" customWidth="1"/>
    <col min="5125" max="5125" width="78.85546875" style="102" bestFit="1" customWidth="1"/>
    <col min="5126" max="5376" width="9.140625" style="102"/>
    <col min="5377" max="5377" width="8.42578125" style="102" customWidth="1"/>
    <col min="5378" max="5378" width="27.28515625" style="102" customWidth="1"/>
    <col min="5379" max="5379" width="28.28515625" style="102" customWidth="1"/>
    <col min="5380" max="5380" width="31" style="102" customWidth="1"/>
    <col min="5381" max="5381" width="78.85546875" style="102" bestFit="1" customWidth="1"/>
    <col min="5382" max="5632" width="9.140625" style="102"/>
    <col min="5633" max="5633" width="8.42578125" style="102" customWidth="1"/>
    <col min="5634" max="5634" width="27.28515625" style="102" customWidth="1"/>
    <col min="5635" max="5635" width="28.28515625" style="102" customWidth="1"/>
    <col min="5636" max="5636" width="31" style="102" customWidth="1"/>
    <col min="5637" max="5637" width="78.85546875" style="102" bestFit="1" customWidth="1"/>
    <col min="5638" max="5888" width="9.140625" style="102"/>
    <col min="5889" max="5889" width="8.42578125" style="102" customWidth="1"/>
    <col min="5890" max="5890" width="27.28515625" style="102" customWidth="1"/>
    <col min="5891" max="5891" width="28.28515625" style="102" customWidth="1"/>
    <col min="5892" max="5892" width="31" style="102" customWidth="1"/>
    <col min="5893" max="5893" width="78.85546875" style="102" bestFit="1" customWidth="1"/>
    <col min="5894" max="6144" width="9.140625" style="102"/>
    <col min="6145" max="6145" width="8.42578125" style="102" customWidth="1"/>
    <col min="6146" max="6146" width="27.28515625" style="102" customWidth="1"/>
    <col min="6147" max="6147" width="28.28515625" style="102" customWidth="1"/>
    <col min="6148" max="6148" width="31" style="102" customWidth="1"/>
    <col min="6149" max="6149" width="78.85546875" style="102" bestFit="1" customWidth="1"/>
    <col min="6150" max="6400" width="9.140625" style="102"/>
    <col min="6401" max="6401" width="8.42578125" style="102" customWidth="1"/>
    <col min="6402" max="6402" width="27.28515625" style="102" customWidth="1"/>
    <col min="6403" max="6403" width="28.28515625" style="102" customWidth="1"/>
    <col min="6404" max="6404" width="31" style="102" customWidth="1"/>
    <col min="6405" max="6405" width="78.85546875" style="102" bestFit="1" customWidth="1"/>
    <col min="6406" max="6656" width="9.140625" style="102"/>
    <col min="6657" max="6657" width="8.42578125" style="102" customWidth="1"/>
    <col min="6658" max="6658" width="27.28515625" style="102" customWidth="1"/>
    <col min="6659" max="6659" width="28.28515625" style="102" customWidth="1"/>
    <col min="6660" max="6660" width="31" style="102" customWidth="1"/>
    <col min="6661" max="6661" width="78.85546875" style="102" bestFit="1" customWidth="1"/>
    <col min="6662" max="6912" width="9.140625" style="102"/>
    <col min="6913" max="6913" width="8.42578125" style="102" customWidth="1"/>
    <col min="6914" max="6914" width="27.28515625" style="102" customWidth="1"/>
    <col min="6915" max="6915" width="28.28515625" style="102" customWidth="1"/>
    <col min="6916" max="6916" width="31" style="102" customWidth="1"/>
    <col min="6917" max="6917" width="78.85546875" style="102" bestFit="1" customWidth="1"/>
    <col min="6918" max="7168" width="9.140625" style="102"/>
    <col min="7169" max="7169" width="8.42578125" style="102" customWidth="1"/>
    <col min="7170" max="7170" width="27.28515625" style="102" customWidth="1"/>
    <col min="7171" max="7171" width="28.28515625" style="102" customWidth="1"/>
    <col min="7172" max="7172" width="31" style="102" customWidth="1"/>
    <col min="7173" max="7173" width="78.85546875" style="102" bestFit="1" customWidth="1"/>
    <col min="7174" max="7424" width="9.140625" style="102"/>
    <col min="7425" max="7425" width="8.42578125" style="102" customWidth="1"/>
    <col min="7426" max="7426" width="27.28515625" style="102" customWidth="1"/>
    <col min="7427" max="7427" width="28.28515625" style="102" customWidth="1"/>
    <col min="7428" max="7428" width="31" style="102" customWidth="1"/>
    <col min="7429" max="7429" width="78.85546875" style="102" bestFit="1" customWidth="1"/>
    <col min="7430" max="7680" width="9.140625" style="102"/>
    <col min="7681" max="7681" width="8.42578125" style="102" customWidth="1"/>
    <col min="7682" max="7682" width="27.28515625" style="102" customWidth="1"/>
    <col min="7683" max="7683" width="28.28515625" style="102" customWidth="1"/>
    <col min="7684" max="7684" width="31" style="102" customWidth="1"/>
    <col min="7685" max="7685" width="78.85546875" style="102" bestFit="1" customWidth="1"/>
    <col min="7686" max="7936" width="9.140625" style="102"/>
    <col min="7937" max="7937" width="8.42578125" style="102" customWidth="1"/>
    <col min="7938" max="7938" width="27.28515625" style="102" customWidth="1"/>
    <col min="7939" max="7939" width="28.28515625" style="102" customWidth="1"/>
    <col min="7940" max="7940" width="31" style="102" customWidth="1"/>
    <col min="7941" max="7941" width="78.85546875" style="102" bestFit="1" customWidth="1"/>
    <col min="7942" max="8192" width="9.140625" style="102"/>
    <col min="8193" max="8193" width="8.42578125" style="102" customWidth="1"/>
    <col min="8194" max="8194" width="27.28515625" style="102" customWidth="1"/>
    <col min="8195" max="8195" width="28.28515625" style="102" customWidth="1"/>
    <col min="8196" max="8196" width="31" style="102" customWidth="1"/>
    <col min="8197" max="8197" width="78.85546875" style="102" bestFit="1" customWidth="1"/>
    <col min="8198" max="8448" width="9.140625" style="102"/>
    <col min="8449" max="8449" width="8.42578125" style="102" customWidth="1"/>
    <col min="8450" max="8450" width="27.28515625" style="102" customWidth="1"/>
    <col min="8451" max="8451" width="28.28515625" style="102" customWidth="1"/>
    <col min="8452" max="8452" width="31" style="102" customWidth="1"/>
    <col min="8453" max="8453" width="78.85546875" style="102" bestFit="1" customWidth="1"/>
    <col min="8454" max="8704" width="9.140625" style="102"/>
    <col min="8705" max="8705" width="8.42578125" style="102" customWidth="1"/>
    <col min="8706" max="8706" width="27.28515625" style="102" customWidth="1"/>
    <col min="8707" max="8707" width="28.28515625" style="102" customWidth="1"/>
    <col min="8708" max="8708" width="31" style="102" customWidth="1"/>
    <col min="8709" max="8709" width="78.85546875" style="102" bestFit="1" customWidth="1"/>
    <col min="8710" max="8960" width="9.140625" style="102"/>
    <col min="8961" max="8961" width="8.42578125" style="102" customWidth="1"/>
    <col min="8962" max="8962" width="27.28515625" style="102" customWidth="1"/>
    <col min="8963" max="8963" width="28.28515625" style="102" customWidth="1"/>
    <col min="8964" max="8964" width="31" style="102" customWidth="1"/>
    <col min="8965" max="8965" width="78.85546875" style="102" bestFit="1" customWidth="1"/>
    <col min="8966" max="9216" width="9.140625" style="102"/>
    <col min="9217" max="9217" width="8.42578125" style="102" customWidth="1"/>
    <col min="9218" max="9218" width="27.28515625" style="102" customWidth="1"/>
    <col min="9219" max="9219" width="28.28515625" style="102" customWidth="1"/>
    <col min="9220" max="9220" width="31" style="102" customWidth="1"/>
    <col min="9221" max="9221" width="78.85546875" style="102" bestFit="1" customWidth="1"/>
    <col min="9222" max="9472" width="9.140625" style="102"/>
    <col min="9473" max="9473" width="8.42578125" style="102" customWidth="1"/>
    <col min="9474" max="9474" width="27.28515625" style="102" customWidth="1"/>
    <col min="9475" max="9475" width="28.28515625" style="102" customWidth="1"/>
    <col min="9476" max="9476" width="31" style="102" customWidth="1"/>
    <col min="9477" max="9477" width="78.85546875" style="102" bestFit="1" customWidth="1"/>
    <col min="9478" max="9728" width="9.140625" style="102"/>
    <col min="9729" max="9729" width="8.42578125" style="102" customWidth="1"/>
    <col min="9730" max="9730" width="27.28515625" style="102" customWidth="1"/>
    <col min="9731" max="9731" width="28.28515625" style="102" customWidth="1"/>
    <col min="9732" max="9732" width="31" style="102" customWidth="1"/>
    <col min="9733" max="9733" width="78.85546875" style="102" bestFit="1" customWidth="1"/>
    <col min="9734" max="9984" width="9.140625" style="102"/>
    <col min="9985" max="9985" width="8.42578125" style="102" customWidth="1"/>
    <col min="9986" max="9986" width="27.28515625" style="102" customWidth="1"/>
    <col min="9987" max="9987" width="28.28515625" style="102" customWidth="1"/>
    <col min="9988" max="9988" width="31" style="102" customWidth="1"/>
    <col min="9989" max="9989" width="78.85546875" style="102" bestFit="1" customWidth="1"/>
    <col min="9990" max="10240" width="9.140625" style="102"/>
    <col min="10241" max="10241" width="8.42578125" style="102" customWidth="1"/>
    <col min="10242" max="10242" width="27.28515625" style="102" customWidth="1"/>
    <col min="10243" max="10243" width="28.28515625" style="102" customWidth="1"/>
    <col min="10244" max="10244" width="31" style="102" customWidth="1"/>
    <col min="10245" max="10245" width="78.85546875" style="102" bestFit="1" customWidth="1"/>
    <col min="10246" max="10496" width="9.140625" style="102"/>
    <col min="10497" max="10497" width="8.42578125" style="102" customWidth="1"/>
    <col min="10498" max="10498" width="27.28515625" style="102" customWidth="1"/>
    <col min="10499" max="10499" width="28.28515625" style="102" customWidth="1"/>
    <col min="10500" max="10500" width="31" style="102" customWidth="1"/>
    <col min="10501" max="10501" width="78.85546875" style="102" bestFit="1" customWidth="1"/>
    <col min="10502" max="10752" width="9.140625" style="102"/>
    <col min="10753" max="10753" width="8.42578125" style="102" customWidth="1"/>
    <col min="10754" max="10754" width="27.28515625" style="102" customWidth="1"/>
    <col min="10755" max="10755" width="28.28515625" style="102" customWidth="1"/>
    <col min="10756" max="10756" width="31" style="102" customWidth="1"/>
    <col min="10757" max="10757" width="78.85546875" style="102" bestFit="1" customWidth="1"/>
    <col min="10758" max="11008" width="9.140625" style="102"/>
    <col min="11009" max="11009" width="8.42578125" style="102" customWidth="1"/>
    <col min="11010" max="11010" width="27.28515625" style="102" customWidth="1"/>
    <col min="11011" max="11011" width="28.28515625" style="102" customWidth="1"/>
    <col min="11012" max="11012" width="31" style="102" customWidth="1"/>
    <col min="11013" max="11013" width="78.85546875" style="102" bestFit="1" customWidth="1"/>
    <col min="11014" max="11264" width="9.140625" style="102"/>
    <col min="11265" max="11265" width="8.42578125" style="102" customWidth="1"/>
    <col min="11266" max="11266" width="27.28515625" style="102" customWidth="1"/>
    <col min="11267" max="11267" width="28.28515625" style="102" customWidth="1"/>
    <col min="11268" max="11268" width="31" style="102" customWidth="1"/>
    <col min="11269" max="11269" width="78.85546875" style="102" bestFit="1" customWidth="1"/>
    <col min="11270" max="11520" width="9.140625" style="102"/>
    <col min="11521" max="11521" width="8.42578125" style="102" customWidth="1"/>
    <col min="11522" max="11522" width="27.28515625" style="102" customWidth="1"/>
    <col min="11523" max="11523" width="28.28515625" style="102" customWidth="1"/>
    <col min="11524" max="11524" width="31" style="102" customWidth="1"/>
    <col min="11525" max="11525" width="78.85546875" style="102" bestFit="1" customWidth="1"/>
    <col min="11526" max="11776" width="9.140625" style="102"/>
    <col min="11777" max="11777" width="8.42578125" style="102" customWidth="1"/>
    <col min="11778" max="11778" width="27.28515625" style="102" customWidth="1"/>
    <col min="11779" max="11779" width="28.28515625" style="102" customWidth="1"/>
    <col min="11780" max="11780" width="31" style="102" customWidth="1"/>
    <col min="11781" max="11781" width="78.85546875" style="102" bestFit="1" customWidth="1"/>
    <col min="11782" max="12032" width="9.140625" style="102"/>
    <col min="12033" max="12033" width="8.42578125" style="102" customWidth="1"/>
    <col min="12034" max="12034" width="27.28515625" style="102" customWidth="1"/>
    <col min="12035" max="12035" width="28.28515625" style="102" customWidth="1"/>
    <col min="12036" max="12036" width="31" style="102" customWidth="1"/>
    <col min="12037" max="12037" width="78.85546875" style="102" bestFit="1" customWidth="1"/>
    <col min="12038" max="12288" width="9.140625" style="102"/>
    <col min="12289" max="12289" width="8.42578125" style="102" customWidth="1"/>
    <col min="12290" max="12290" width="27.28515625" style="102" customWidth="1"/>
    <col min="12291" max="12291" width="28.28515625" style="102" customWidth="1"/>
    <col min="12292" max="12292" width="31" style="102" customWidth="1"/>
    <col min="12293" max="12293" width="78.85546875" style="102" bestFit="1" customWidth="1"/>
    <col min="12294" max="12544" width="9.140625" style="102"/>
    <col min="12545" max="12545" width="8.42578125" style="102" customWidth="1"/>
    <col min="12546" max="12546" width="27.28515625" style="102" customWidth="1"/>
    <col min="12547" max="12547" width="28.28515625" style="102" customWidth="1"/>
    <col min="12548" max="12548" width="31" style="102" customWidth="1"/>
    <col min="12549" max="12549" width="78.85546875" style="102" bestFit="1" customWidth="1"/>
    <col min="12550" max="12800" width="9.140625" style="102"/>
    <col min="12801" max="12801" width="8.42578125" style="102" customWidth="1"/>
    <col min="12802" max="12802" width="27.28515625" style="102" customWidth="1"/>
    <col min="12803" max="12803" width="28.28515625" style="102" customWidth="1"/>
    <col min="12804" max="12804" width="31" style="102" customWidth="1"/>
    <col min="12805" max="12805" width="78.85546875" style="102" bestFit="1" customWidth="1"/>
    <col min="12806" max="13056" width="9.140625" style="102"/>
    <col min="13057" max="13057" width="8.42578125" style="102" customWidth="1"/>
    <col min="13058" max="13058" width="27.28515625" style="102" customWidth="1"/>
    <col min="13059" max="13059" width="28.28515625" style="102" customWidth="1"/>
    <col min="13060" max="13060" width="31" style="102" customWidth="1"/>
    <col min="13061" max="13061" width="78.85546875" style="102" bestFit="1" customWidth="1"/>
    <col min="13062" max="13312" width="9.140625" style="102"/>
    <col min="13313" max="13313" width="8.42578125" style="102" customWidth="1"/>
    <col min="13314" max="13314" width="27.28515625" style="102" customWidth="1"/>
    <col min="13315" max="13315" width="28.28515625" style="102" customWidth="1"/>
    <col min="13316" max="13316" width="31" style="102" customWidth="1"/>
    <col min="13317" max="13317" width="78.85546875" style="102" bestFit="1" customWidth="1"/>
    <col min="13318" max="13568" width="9.140625" style="102"/>
    <col min="13569" max="13569" width="8.42578125" style="102" customWidth="1"/>
    <col min="13570" max="13570" width="27.28515625" style="102" customWidth="1"/>
    <col min="13571" max="13571" width="28.28515625" style="102" customWidth="1"/>
    <col min="13572" max="13572" width="31" style="102" customWidth="1"/>
    <col min="13573" max="13573" width="78.85546875" style="102" bestFit="1" customWidth="1"/>
    <col min="13574" max="13824" width="9.140625" style="102"/>
    <col min="13825" max="13825" width="8.42578125" style="102" customWidth="1"/>
    <col min="13826" max="13826" width="27.28515625" style="102" customWidth="1"/>
    <col min="13827" max="13827" width="28.28515625" style="102" customWidth="1"/>
    <col min="13828" max="13828" width="31" style="102" customWidth="1"/>
    <col min="13829" max="13829" width="78.85546875" style="102" bestFit="1" customWidth="1"/>
    <col min="13830" max="14080" width="9.140625" style="102"/>
    <col min="14081" max="14081" width="8.42578125" style="102" customWidth="1"/>
    <col min="14082" max="14082" width="27.28515625" style="102" customWidth="1"/>
    <col min="14083" max="14083" width="28.28515625" style="102" customWidth="1"/>
    <col min="14084" max="14084" width="31" style="102" customWidth="1"/>
    <col min="14085" max="14085" width="78.85546875" style="102" bestFit="1" customWidth="1"/>
    <col min="14086" max="14336" width="9.140625" style="102"/>
    <col min="14337" max="14337" width="8.42578125" style="102" customWidth="1"/>
    <col min="14338" max="14338" width="27.28515625" style="102" customWidth="1"/>
    <col min="14339" max="14339" width="28.28515625" style="102" customWidth="1"/>
    <col min="14340" max="14340" width="31" style="102" customWidth="1"/>
    <col min="14341" max="14341" width="78.85546875" style="102" bestFit="1" customWidth="1"/>
    <col min="14342" max="14592" width="9.140625" style="102"/>
    <col min="14593" max="14593" width="8.42578125" style="102" customWidth="1"/>
    <col min="14594" max="14594" width="27.28515625" style="102" customWidth="1"/>
    <col min="14595" max="14595" width="28.28515625" style="102" customWidth="1"/>
    <col min="14596" max="14596" width="31" style="102" customWidth="1"/>
    <col min="14597" max="14597" width="78.85546875" style="102" bestFit="1" customWidth="1"/>
    <col min="14598" max="14848" width="9.140625" style="102"/>
    <col min="14849" max="14849" width="8.42578125" style="102" customWidth="1"/>
    <col min="14850" max="14850" width="27.28515625" style="102" customWidth="1"/>
    <col min="14851" max="14851" width="28.28515625" style="102" customWidth="1"/>
    <col min="14852" max="14852" width="31" style="102" customWidth="1"/>
    <col min="14853" max="14853" width="78.85546875" style="102" bestFit="1" customWidth="1"/>
    <col min="14854" max="15104" width="9.140625" style="102"/>
    <col min="15105" max="15105" width="8.42578125" style="102" customWidth="1"/>
    <col min="15106" max="15106" width="27.28515625" style="102" customWidth="1"/>
    <col min="15107" max="15107" width="28.28515625" style="102" customWidth="1"/>
    <col min="15108" max="15108" width="31" style="102" customWidth="1"/>
    <col min="15109" max="15109" width="78.85546875" style="102" bestFit="1" customWidth="1"/>
    <col min="15110" max="15360" width="9.140625" style="102"/>
    <col min="15361" max="15361" width="8.42578125" style="102" customWidth="1"/>
    <col min="15362" max="15362" width="27.28515625" style="102" customWidth="1"/>
    <col min="15363" max="15363" width="28.28515625" style="102" customWidth="1"/>
    <col min="15364" max="15364" width="31" style="102" customWidth="1"/>
    <col min="15365" max="15365" width="78.85546875" style="102" bestFit="1" customWidth="1"/>
    <col min="15366" max="15616" width="9.140625" style="102"/>
    <col min="15617" max="15617" width="8.42578125" style="102" customWidth="1"/>
    <col min="15618" max="15618" width="27.28515625" style="102" customWidth="1"/>
    <col min="15619" max="15619" width="28.28515625" style="102" customWidth="1"/>
    <col min="15620" max="15620" width="31" style="102" customWidth="1"/>
    <col min="15621" max="15621" width="78.85546875" style="102" bestFit="1" customWidth="1"/>
    <col min="15622" max="15872" width="9.140625" style="102"/>
    <col min="15873" max="15873" width="8.42578125" style="102" customWidth="1"/>
    <col min="15874" max="15874" width="27.28515625" style="102" customWidth="1"/>
    <col min="15875" max="15875" width="28.28515625" style="102" customWidth="1"/>
    <col min="15876" max="15876" width="31" style="102" customWidth="1"/>
    <col min="15877" max="15877" width="78.85546875" style="102" bestFit="1" customWidth="1"/>
    <col min="15878" max="16128" width="9.140625" style="102"/>
    <col min="16129" max="16129" width="8.42578125" style="102" customWidth="1"/>
    <col min="16130" max="16130" width="27.28515625" style="102" customWidth="1"/>
    <col min="16131" max="16131" width="28.28515625" style="102" customWidth="1"/>
    <col min="16132" max="16132" width="31" style="102" customWidth="1"/>
    <col min="16133" max="16133" width="78.85546875" style="102" bestFit="1" customWidth="1"/>
    <col min="16134" max="16384" width="9.140625" style="102"/>
  </cols>
  <sheetData>
    <row r="1" spans="1:5">
      <c r="A1" s="100"/>
      <c r="B1" s="101"/>
    </row>
    <row r="2" spans="1:5" ht="17.45" customHeight="1">
      <c r="A2" s="125" t="s">
        <v>346</v>
      </c>
      <c r="B2" s="125"/>
      <c r="C2" s="125"/>
      <c r="D2" s="126" t="s">
        <v>347</v>
      </c>
    </row>
    <row r="3" spans="1:5" ht="16.5" customHeight="1">
      <c r="A3" s="240" t="s">
        <v>348</v>
      </c>
      <c r="B3" s="240"/>
      <c r="C3" s="240"/>
      <c r="D3" s="240"/>
    </row>
    <row r="4" spans="1:5">
      <c r="A4" s="104"/>
    </row>
    <row r="5" spans="1:5" ht="18.75">
      <c r="A5" s="239" t="s">
        <v>253</v>
      </c>
      <c r="B5" s="239"/>
      <c r="C5" s="239"/>
      <c r="D5" s="239"/>
    </row>
    <row r="6" spans="1:5" ht="18.75">
      <c r="A6" s="105"/>
      <c r="B6" s="105"/>
      <c r="C6" s="105"/>
      <c r="D6" s="105"/>
    </row>
    <row r="7" spans="1:5">
      <c r="A7" s="106" t="s">
        <v>349</v>
      </c>
    </row>
    <row r="8" spans="1:5">
      <c r="A8" s="106"/>
    </row>
    <row r="9" spans="1:5">
      <c r="A9" s="107" t="s">
        <v>254</v>
      </c>
    </row>
    <row r="10" spans="1:5">
      <c r="A10" s="104" t="s">
        <v>351</v>
      </c>
      <c r="C10" s="104" t="s">
        <v>352</v>
      </c>
    </row>
    <row r="11" spans="1:5">
      <c r="A11" s="104" t="s">
        <v>350</v>
      </c>
      <c r="C11" s="104" t="s">
        <v>353</v>
      </c>
    </row>
    <row r="12" spans="1:5">
      <c r="A12" s="104"/>
    </row>
    <row r="13" spans="1:5" ht="20.45" customHeight="1">
      <c r="A13" s="108" t="s">
        <v>255</v>
      </c>
      <c r="B13" s="108" t="s">
        <v>256</v>
      </c>
      <c r="C13" s="108" t="s">
        <v>257</v>
      </c>
      <c r="D13" s="108" t="s">
        <v>258</v>
      </c>
      <c r="E13" s="109" t="s">
        <v>259</v>
      </c>
    </row>
    <row r="14" spans="1:5" ht="20.45" customHeight="1">
      <c r="A14" s="108" t="s">
        <v>83</v>
      </c>
      <c r="B14" s="108" t="s">
        <v>84</v>
      </c>
      <c r="C14" s="108">
        <v>1</v>
      </c>
      <c r="D14" s="108">
        <v>2</v>
      </c>
    </row>
    <row r="15" spans="1:5" ht="20.45" customHeight="1">
      <c r="A15" s="108" t="s">
        <v>25</v>
      </c>
      <c r="B15" s="110" t="s">
        <v>260</v>
      </c>
      <c r="C15" s="111"/>
      <c r="D15" s="127">
        <v>2309760</v>
      </c>
      <c r="E15" s="103" t="s">
        <v>261</v>
      </c>
    </row>
    <row r="16" spans="1:5" ht="20.45" customHeight="1">
      <c r="A16" s="108" t="s">
        <v>26</v>
      </c>
      <c r="B16" s="110" t="s">
        <v>262</v>
      </c>
      <c r="C16" s="111"/>
      <c r="D16" s="127">
        <v>2310000</v>
      </c>
      <c r="E16" s="103" t="s">
        <v>263</v>
      </c>
    </row>
    <row r="17" spans="1:5" ht="20.45" customHeight="1">
      <c r="A17" s="111">
        <v>1</v>
      </c>
      <c r="B17" s="112" t="s">
        <v>264</v>
      </c>
      <c r="C17" s="111">
        <v>2</v>
      </c>
      <c r="D17" s="127">
        <v>1000000</v>
      </c>
    </row>
    <row r="18" spans="1:5" ht="20.45" customHeight="1">
      <c r="A18" s="111" t="s">
        <v>265</v>
      </c>
      <c r="B18" s="112" t="s">
        <v>266</v>
      </c>
      <c r="C18" s="111">
        <v>5</v>
      </c>
      <c r="D18" s="127">
        <v>1000000</v>
      </c>
    </row>
    <row r="19" spans="1:5" ht="20.45" customHeight="1">
      <c r="A19" s="111" t="s">
        <v>267</v>
      </c>
      <c r="B19" s="112" t="s">
        <v>268</v>
      </c>
      <c r="C19" s="111">
        <v>3</v>
      </c>
      <c r="D19" s="127">
        <v>300000</v>
      </c>
      <c r="E19" s="128"/>
    </row>
    <row r="20" spans="1:5" ht="20.45" customHeight="1">
      <c r="A20" s="111" t="s">
        <v>269</v>
      </c>
      <c r="B20" s="112" t="s">
        <v>270</v>
      </c>
      <c r="C20" s="111"/>
      <c r="D20" s="127"/>
    </row>
    <row r="21" spans="1:5" ht="20.45" customHeight="1">
      <c r="A21" s="111" t="s">
        <v>271</v>
      </c>
      <c r="B21" s="112" t="s">
        <v>272</v>
      </c>
      <c r="C21" s="111"/>
      <c r="D21" s="127"/>
    </row>
    <row r="22" spans="1:5" ht="20.45" customHeight="1">
      <c r="A22" s="111" t="s">
        <v>273</v>
      </c>
      <c r="B22" s="112" t="s">
        <v>274</v>
      </c>
      <c r="C22" s="111">
        <v>1</v>
      </c>
      <c r="D22" s="127">
        <v>10000</v>
      </c>
    </row>
    <row r="23" spans="1:5" ht="20.45" customHeight="1">
      <c r="A23" s="111">
        <v>7</v>
      </c>
      <c r="B23" s="112" t="s">
        <v>275</v>
      </c>
      <c r="C23" s="111"/>
      <c r="D23" s="127"/>
    </row>
    <row r="24" spans="1:5" ht="20.45" customHeight="1">
      <c r="A24" s="111">
        <v>8</v>
      </c>
      <c r="B24" s="112" t="s">
        <v>276</v>
      </c>
      <c r="C24" s="111"/>
      <c r="D24" s="127"/>
    </row>
    <row r="25" spans="1:5" ht="20.45" customHeight="1">
      <c r="A25" s="111">
        <v>9</v>
      </c>
      <c r="B25" s="112" t="s">
        <v>277</v>
      </c>
      <c r="C25" s="111"/>
      <c r="D25" s="127"/>
    </row>
    <row r="26" spans="1:5" ht="20.45" customHeight="1">
      <c r="A26" s="111">
        <v>10</v>
      </c>
      <c r="B26" s="112" t="s">
        <v>278</v>
      </c>
      <c r="C26" s="111"/>
      <c r="D26" s="127"/>
    </row>
    <row r="27" spans="1:5" ht="20.45" customHeight="1">
      <c r="A27" s="111" t="s">
        <v>279</v>
      </c>
      <c r="B27" s="112" t="s">
        <v>280</v>
      </c>
      <c r="C27" s="111"/>
      <c r="D27" s="127"/>
      <c r="E27" s="103" t="s">
        <v>281</v>
      </c>
    </row>
    <row r="28" spans="1:5" ht="20.45" customHeight="1">
      <c r="A28" s="108" t="s">
        <v>33</v>
      </c>
      <c r="B28" s="110" t="s">
        <v>282</v>
      </c>
      <c r="C28" s="111"/>
      <c r="D28" s="127">
        <f>D16-D15</f>
        <v>240</v>
      </c>
    </row>
    <row r="29" spans="1:5" ht="19.899999999999999" customHeight="1">
      <c r="A29" s="104" t="s">
        <v>283</v>
      </c>
      <c r="B29" s="104" t="s">
        <v>387</v>
      </c>
    </row>
    <row r="30" spans="1:5" ht="19.899999999999999" customHeight="1">
      <c r="A30" s="129" t="s">
        <v>388</v>
      </c>
    </row>
    <row r="31" spans="1:5">
      <c r="A31" s="104"/>
    </row>
    <row r="32" spans="1:5" ht="33">
      <c r="B32" s="113" t="s">
        <v>284</v>
      </c>
      <c r="C32" s="113" t="s">
        <v>285</v>
      </c>
      <c r="D32" s="113" t="s">
        <v>286</v>
      </c>
    </row>
    <row r="33" spans="1:5">
      <c r="B33" s="114" t="s">
        <v>80</v>
      </c>
      <c r="C33" s="114" t="s">
        <v>80</v>
      </c>
      <c r="D33" s="114" t="s">
        <v>80</v>
      </c>
    </row>
    <row r="34" spans="1:5">
      <c r="A34" s="115"/>
    </row>
    <row r="37" spans="1:5">
      <c r="E37" s="116"/>
    </row>
    <row r="38" spans="1:5">
      <c r="B38" s="130" t="s">
        <v>344</v>
      </c>
      <c r="C38" s="130"/>
      <c r="D38" s="130" t="s">
        <v>345</v>
      </c>
    </row>
  </sheetData>
  <mergeCells count="2">
    <mergeCell ref="A5:D5"/>
    <mergeCell ref="A3:D3"/>
  </mergeCells>
  <pageMargins left="0.4" right="0.36" top="0.42" bottom="0.75" header="0.3" footer="0.3"/>
  <pageSetup paperSize="9" scale="56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51"/>
  <sheetViews>
    <sheetView topLeftCell="A11" workbookViewId="0">
      <selection activeCell="E22" sqref="E22:F22"/>
    </sheetView>
  </sheetViews>
  <sheetFormatPr defaultRowHeight="15"/>
  <cols>
    <col min="1" max="1" width="5.7109375" customWidth="1"/>
    <col min="2" max="2" width="49.7109375" customWidth="1"/>
    <col min="3" max="3" width="8.28515625" customWidth="1"/>
    <col min="4" max="4" width="9.5703125" customWidth="1"/>
    <col min="5" max="5" width="5.28515625" customWidth="1"/>
    <col min="6" max="6" width="20.42578125" customWidth="1"/>
    <col min="9" max="9" width="22.5703125" customWidth="1"/>
    <col min="11" max="11" width="16.85546875" customWidth="1"/>
  </cols>
  <sheetData>
    <row r="1" spans="1:11">
      <c r="A1" t="s">
        <v>107</v>
      </c>
      <c r="F1" s="1" t="s">
        <v>0</v>
      </c>
    </row>
    <row r="2" spans="1:11">
      <c r="A2" t="s">
        <v>115</v>
      </c>
      <c r="F2" s="1" t="s">
        <v>1</v>
      </c>
    </row>
    <row r="3" spans="1:11">
      <c r="A3" t="s">
        <v>175</v>
      </c>
      <c r="F3" s="1" t="s">
        <v>103</v>
      </c>
    </row>
    <row r="4" spans="1:11" ht="33" customHeight="1">
      <c r="A4" s="174" t="s">
        <v>2</v>
      </c>
      <c r="B4" s="174"/>
      <c r="C4" s="174"/>
      <c r="D4" s="174"/>
      <c r="E4" s="174"/>
      <c r="F4" s="174"/>
      <c r="G4" s="174"/>
    </row>
    <row r="5" spans="1:11" ht="18.75">
      <c r="A5" s="175" t="s">
        <v>474</v>
      </c>
      <c r="B5" s="175"/>
      <c r="C5" s="175"/>
      <c r="D5" s="175"/>
      <c r="E5" s="175"/>
      <c r="F5" s="175"/>
      <c r="G5" s="175"/>
    </row>
    <row r="6" spans="1:11">
      <c r="A6" s="6" t="s">
        <v>3</v>
      </c>
    </row>
    <row r="7" spans="1:11">
      <c r="A7" t="s">
        <v>475</v>
      </c>
      <c r="C7" t="s">
        <v>240</v>
      </c>
      <c r="F7" s="95">
        <v>1315790000</v>
      </c>
      <c r="G7" t="s">
        <v>241</v>
      </c>
      <c r="I7" s="148">
        <f>+F7/6</f>
        <v>219298333.33333334</v>
      </c>
      <c r="K7" s="148"/>
    </row>
    <row r="8" spans="1:11">
      <c r="A8" t="s">
        <v>476</v>
      </c>
      <c r="C8" t="s">
        <v>243</v>
      </c>
      <c r="F8" s="95">
        <v>1315790000</v>
      </c>
      <c r="G8" t="s">
        <v>242</v>
      </c>
      <c r="I8" s="148">
        <f>+I7/47</f>
        <v>4665921.9858156033</v>
      </c>
      <c r="K8" s="148"/>
    </row>
    <row r="9" spans="1:11">
      <c r="A9" t="s">
        <v>238</v>
      </c>
      <c r="I9" s="148">
        <f>+I8/100</f>
        <v>46659.21985815603</v>
      </c>
      <c r="K9" s="148"/>
    </row>
    <row r="10" spans="1:11" ht="21" customHeight="1">
      <c r="A10" s="12" t="s">
        <v>5</v>
      </c>
      <c r="B10" s="11"/>
      <c r="C10" t="s">
        <v>6</v>
      </c>
      <c r="D10" t="s">
        <v>4</v>
      </c>
      <c r="G10" s="94" t="s">
        <v>7</v>
      </c>
      <c r="K10" s="95"/>
    </row>
    <row r="11" spans="1:11" ht="57">
      <c r="A11" s="5" t="s">
        <v>8</v>
      </c>
      <c r="B11" s="5" t="s">
        <v>9</v>
      </c>
      <c r="C11" s="5" t="s">
        <v>24</v>
      </c>
      <c r="D11" s="5" t="s">
        <v>10</v>
      </c>
      <c r="E11" s="212" t="s">
        <v>11</v>
      </c>
      <c r="F11" s="213"/>
      <c r="G11" s="5" t="s">
        <v>12</v>
      </c>
    </row>
    <row r="12" spans="1:11" ht="14.45" customHeight="1">
      <c r="A12" s="3" t="s">
        <v>25</v>
      </c>
      <c r="B12" s="7" t="s">
        <v>49</v>
      </c>
      <c r="C12" s="13">
        <v>10</v>
      </c>
      <c r="D12" s="2"/>
      <c r="E12" s="214">
        <v>6351634</v>
      </c>
      <c r="F12" s="221"/>
      <c r="G12" s="2"/>
    </row>
    <row r="13" spans="1:11" ht="14.45" customHeight="1">
      <c r="A13" s="3" t="s">
        <v>26</v>
      </c>
      <c r="B13" s="7" t="s">
        <v>20</v>
      </c>
      <c r="C13" s="13"/>
      <c r="D13" s="2"/>
      <c r="E13" s="208"/>
      <c r="F13" s="209"/>
      <c r="G13" s="2"/>
    </row>
    <row r="14" spans="1:11" ht="14.45" customHeight="1">
      <c r="A14" s="4" t="s">
        <v>27</v>
      </c>
      <c r="B14" s="8" t="s">
        <v>22</v>
      </c>
      <c r="C14" s="14">
        <v>22</v>
      </c>
      <c r="D14" s="2"/>
      <c r="E14" s="210">
        <v>15747000</v>
      </c>
      <c r="F14" s="211">
        <v>13787400</v>
      </c>
      <c r="G14" s="2"/>
      <c r="I14" s="95">
        <f>F8*1%</f>
        <v>13157900</v>
      </c>
    </row>
    <row r="15" spans="1:11" ht="14.45" customHeight="1">
      <c r="A15" s="4" t="s">
        <v>28</v>
      </c>
      <c r="B15" s="8" t="s">
        <v>21</v>
      </c>
      <c r="C15" s="14">
        <v>23</v>
      </c>
      <c r="D15" s="2"/>
      <c r="E15" s="208"/>
      <c r="F15" s="209"/>
      <c r="G15" s="2"/>
    </row>
    <row r="16" spans="1:11" ht="14.45" customHeight="1">
      <c r="A16" s="4" t="s">
        <v>29</v>
      </c>
      <c r="B16" s="8" t="s">
        <v>23</v>
      </c>
      <c r="C16" s="14">
        <v>24</v>
      </c>
      <c r="D16" s="2"/>
      <c r="E16" s="208"/>
      <c r="F16" s="209"/>
      <c r="G16" s="2"/>
    </row>
    <row r="17" spans="1:9" ht="14.45" customHeight="1">
      <c r="A17" s="3" t="s">
        <v>30</v>
      </c>
      <c r="B17" s="7" t="s">
        <v>50</v>
      </c>
      <c r="C17" s="13">
        <v>25</v>
      </c>
      <c r="D17" s="2"/>
      <c r="E17" s="217">
        <v>1440</v>
      </c>
      <c r="F17" s="218">
        <v>3364</v>
      </c>
      <c r="G17" s="2"/>
    </row>
    <row r="18" spans="1:9" ht="14.45" customHeight="1">
      <c r="A18" s="4"/>
      <c r="B18" s="8" t="s">
        <v>51</v>
      </c>
      <c r="C18" s="14" t="s">
        <v>60</v>
      </c>
      <c r="D18" s="2"/>
      <c r="E18" s="208"/>
      <c r="F18" s="209"/>
      <c r="G18" s="2"/>
    </row>
    <row r="19" spans="1:9" ht="14.45" customHeight="1">
      <c r="A19" s="4"/>
      <c r="B19" s="8" t="s">
        <v>52</v>
      </c>
      <c r="C19" s="14" t="s">
        <v>61</v>
      </c>
      <c r="D19" s="2"/>
      <c r="E19" s="219">
        <v>1440</v>
      </c>
      <c r="F19" s="220">
        <v>3364</v>
      </c>
      <c r="G19" s="2"/>
    </row>
    <row r="20" spans="1:9" ht="14.45" customHeight="1">
      <c r="A20" s="4"/>
      <c r="B20" s="7" t="s">
        <v>67</v>
      </c>
      <c r="C20" s="13"/>
      <c r="D20" s="2"/>
      <c r="E20" s="214"/>
      <c r="F20" s="221"/>
      <c r="G20" s="2"/>
    </row>
    <row r="21" spans="1:9" ht="14.45" customHeight="1">
      <c r="A21" s="3" t="s">
        <v>31</v>
      </c>
      <c r="B21" s="7" t="s">
        <v>46</v>
      </c>
      <c r="C21" s="13">
        <v>28</v>
      </c>
      <c r="D21" s="2"/>
      <c r="E21" s="217">
        <f>E22</f>
        <v>20214750</v>
      </c>
      <c r="F21" s="221"/>
      <c r="G21" s="2"/>
    </row>
    <row r="22" spans="1:9" ht="14.45" customHeight="1">
      <c r="A22" s="4"/>
      <c r="B22" s="9" t="s">
        <v>13</v>
      </c>
      <c r="C22" s="14" t="s">
        <v>62</v>
      </c>
      <c r="D22" s="2"/>
      <c r="E22" s="219">
        <v>20214750</v>
      </c>
      <c r="F22" s="220">
        <v>21902100</v>
      </c>
      <c r="G22" s="2"/>
      <c r="I22" s="95">
        <f>F7*2%*75%</f>
        <v>19736850</v>
      </c>
    </row>
    <row r="23" spans="1:9" ht="14.45" customHeight="1">
      <c r="A23" s="4"/>
      <c r="B23" s="9" t="s">
        <v>53</v>
      </c>
      <c r="C23" s="14" t="s">
        <v>63</v>
      </c>
      <c r="D23" s="2"/>
      <c r="E23" s="208"/>
      <c r="F23" s="209"/>
      <c r="G23" s="2"/>
    </row>
    <row r="24" spans="1:9" ht="14.45" customHeight="1">
      <c r="A24" s="4" t="s">
        <v>32</v>
      </c>
      <c r="B24" s="8" t="s">
        <v>54</v>
      </c>
      <c r="C24" s="14">
        <v>40</v>
      </c>
      <c r="D24" s="2"/>
      <c r="E24" s="208"/>
      <c r="F24" s="209"/>
      <c r="G24" s="2"/>
    </row>
    <row r="25" spans="1:9" ht="14.45" customHeight="1">
      <c r="A25" s="4" t="s">
        <v>108</v>
      </c>
      <c r="B25" s="2" t="s">
        <v>109</v>
      </c>
      <c r="C25" s="14">
        <v>47</v>
      </c>
      <c r="E25" s="208"/>
      <c r="F25" s="209"/>
      <c r="G25" s="2"/>
    </row>
    <row r="26" spans="1:9" ht="14.45" customHeight="1">
      <c r="A26" s="3"/>
      <c r="B26" s="7" t="s">
        <v>55</v>
      </c>
      <c r="C26" s="13"/>
      <c r="D26" s="2"/>
      <c r="E26" s="217">
        <f>E21+E17+E14</f>
        <v>35963190</v>
      </c>
      <c r="F26" s="221"/>
      <c r="G26" s="2"/>
    </row>
    <row r="27" spans="1:9" ht="14.45" customHeight="1">
      <c r="A27" s="3" t="s">
        <v>33</v>
      </c>
      <c r="B27" s="7" t="s">
        <v>56</v>
      </c>
      <c r="C27" s="13"/>
      <c r="D27" s="2"/>
      <c r="E27" s="208"/>
      <c r="F27" s="209"/>
      <c r="G27" s="2"/>
    </row>
    <row r="28" spans="1:9" ht="14.45" customHeight="1">
      <c r="A28" s="4" t="s">
        <v>34</v>
      </c>
      <c r="B28" s="9" t="s">
        <v>57</v>
      </c>
      <c r="C28" s="14">
        <v>31</v>
      </c>
      <c r="D28" s="2"/>
      <c r="E28" s="210">
        <v>34900000</v>
      </c>
      <c r="F28" s="211">
        <v>29000000</v>
      </c>
      <c r="G28" s="2"/>
    </row>
    <row r="29" spans="1:9" ht="14.45" customHeight="1">
      <c r="A29" s="4" t="s">
        <v>35</v>
      </c>
      <c r="B29" s="9" t="s">
        <v>14</v>
      </c>
      <c r="C29" s="14">
        <v>32</v>
      </c>
      <c r="D29" s="2"/>
      <c r="E29" s="208"/>
      <c r="F29" s="209"/>
      <c r="G29" s="2"/>
    </row>
    <row r="30" spans="1:9" ht="14.45" customHeight="1">
      <c r="A30" s="4" t="s">
        <v>36</v>
      </c>
      <c r="B30" s="8" t="s">
        <v>58</v>
      </c>
      <c r="C30" s="14">
        <v>33</v>
      </c>
      <c r="D30" s="2"/>
      <c r="E30" s="210">
        <v>800000</v>
      </c>
      <c r="F30" s="211">
        <v>1875000</v>
      </c>
      <c r="G30" s="2"/>
    </row>
    <row r="31" spans="1:9" s="45" customFormat="1" ht="14.45" customHeight="1">
      <c r="A31" s="41" t="s">
        <v>37</v>
      </c>
      <c r="B31" s="42" t="s">
        <v>43</v>
      </c>
      <c r="C31" s="43">
        <v>34</v>
      </c>
      <c r="D31" s="44"/>
      <c r="E31" s="210"/>
      <c r="F31" s="209"/>
      <c r="G31" s="44"/>
    </row>
    <row r="32" spans="1:9" ht="14.45" customHeight="1">
      <c r="A32" s="4"/>
      <c r="B32" s="9" t="s">
        <v>59</v>
      </c>
      <c r="C32" s="14" t="s">
        <v>64</v>
      </c>
      <c r="D32" s="2"/>
      <c r="E32" s="208"/>
      <c r="F32" s="209"/>
      <c r="G32" s="2"/>
    </row>
    <row r="33" spans="1:11" ht="14.45" customHeight="1">
      <c r="A33" s="4"/>
      <c r="B33" s="8" t="s">
        <v>15</v>
      </c>
      <c r="C33" s="14" t="s">
        <v>65</v>
      </c>
      <c r="D33" s="2"/>
      <c r="E33" s="210"/>
      <c r="F33" s="211"/>
      <c r="G33" s="2"/>
    </row>
    <row r="34" spans="1:11" ht="14.45" customHeight="1">
      <c r="A34" s="4"/>
      <c r="B34" s="8" t="s">
        <v>16</v>
      </c>
      <c r="C34" s="14" t="s">
        <v>66</v>
      </c>
      <c r="D34" s="2"/>
      <c r="E34" s="208"/>
      <c r="F34" s="209"/>
      <c r="G34" s="2"/>
    </row>
    <row r="35" spans="1:11" ht="14.45" customHeight="1">
      <c r="A35" s="4" t="s">
        <v>38</v>
      </c>
      <c r="B35" s="8" t="s">
        <v>17</v>
      </c>
      <c r="C35" s="14">
        <v>37</v>
      </c>
      <c r="D35" s="2"/>
      <c r="E35" s="219">
        <v>192500</v>
      </c>
      <c r="F35" s="220">
        <v>192500</v>
      </c>
      <c r="G35" s="2"/>
      <c r="I35" s="95">
        <f>+E30+E35</f>
        <v>992500</v>
      </c>
    </row>
    <row r="36" spans="1:11" ht="14.45" customHeight="1">
      <c r="A36" s="4"/>
      <c r="B36" s="7" t="s">
        <v>42</v>
      </c>
      <c r="C36" s="13"/>
      <c r="D36" s="2"/>
      <c r="E36" s="223">
        <f>E28+E29+E30+E31+E35</f>
        <v>35892500</v>
      </c>
      <c r="F36" s="221"/>
      <c r="G36" s="2"/>
    </row>
    <row r="37" spans="1:11" ht="14.45" customHeight="1">
      <c r="A37" s="4" t="s">
        <v>39</v>
      </c>
      <c r="B37" s="8" t="s">
        <v>106</v>
      </c>
      <c r="C37" s="14">
        <v>39</v>
      </c>
      <c r="D37" s="2"/>
      <c r="E37" s="241">
        <v>2393910</v>
      </c>
      <c r="F37" s="242">
        <v>3170640</v>
      </c>
      <c r="G37" s="2"/>
    </row>
    <row r="38" spans="1:11" ht="14.45" customHeight="1">
      <c r="A38" s="4" t="s">
        <v>40</v>
      </c>
      <c r="B38" s="8" t="s">
        <v>47</v>
      </c>
      <c r="C38" s="14">
        <v>42</v>
      </c>
      <c r="D38" s="2"/>
      <c r="E38" s="208"/>
      <c r="F38" s="209"/>
      <c r="G38" s="2"/>
    </row>
    <row r="39" spans="1:11" ht="14.45" customHeight="1">
      <c r="A39" s="4" t="s">
        <v>111</v>
      </c>
      <c r="B39" s="8" t="s">
        <v>110</v>
      </c>
      <c r="C39" s="14">
        <v>48</v>
      </c>
      <c r="D39" s="2"/>
      <c r="E39" s="208"/>
      <c r="F39" s="209"/>
      <c r="G39" s="2"/>
    </row>
    <row r="40" spans="1:11" ht="14.45" customHeight="1">
      <c r="A40" s="3"/>
      <c r="B40" s="7" t="s">
        <v>48</v>
      </c>
      <c r="C40" s="14"/>
      <c r="D40" s="2"/>
      <c r="E40" s="214">
        <f>E36+E37</f>
        <v>38286410</v>
      </c>
      <c r="F40" s="221"/>
      <c r="G40" s="2"/>
      <c r="I40" s="151">
        <v>56760</v>
      </c>
    </row>
    <row r="41" spans="1:11" ht="14.45" customHeight="1">
      <c r="A41" s="3" t="s">
        <v>112</v>
      </c>
      <c r="B41" s="10" t="s">
        <v>44</v>
      </c>
      <c r="C41" s="13">
        <v>50</v>
      </c>
      <c r="D41" s="2"/>
      <c r="E41" s="216">
        <f>E12+E26-E40</f>
        <v>4028414</v>
      </c>
      <c r="F41" s="209"/>
      <c r="G41" s="2"/>
      <c r="I41" s="95">
        <v>3971654</v>
      </c>
    </row>
    <row r="42" spans="1:11" ht="30" customHeight="1">
      <c r="A42" s="3" t="s">
        <v>41</v>
      </c>
      <c r="B42" s="10" t="s">
        <v>18</v>
      </c>
      <c r="C42" s="35">
        <v>60</v>
      </c>
      <c r="D42" s="2"/>
      <c r="E42" s="208"/>
      <c r="F42" s="209"/>
      <c r="G42" s="2"/>
      <c r="I42" s="135">
        <f>+I40+I41</f>
        <v>4028414</v>
      </c>
      <c r="K42" s="135">
        <f>+E41-I42</f>
        <v>0</v>
      </c>
    </row>
    <row r="43" spans="1:11" ht="28.9" customHeight="1">
      <c r="A43" s="12" t="s">
        <v>19</v>
      </c>
    </row>
    <row r="44" spans="1:11">
      <c r="C44" s="176" t="s">
        <v>486</v>
      </c>
      <c r="D44" s="176"/>
      <c r="E44" s="176"/>
      <c r="F44" s="176"/>
      <c r="G44" s="176"/>
    </row>
    <row r="45" spans="1:11">
      <c r="C45" s="176" t="s">
        <v>101</v>
      </c>
      <c r="D45" s="176"/>
      <c r="E45" s="176"/>
      <c r="F45" s="176"/>
      <c r="G45" s="176"/>
      <c r="I45" s="34"/>
    </row>
    <row r="46" spans="1:11">
      <c r="B46" s="222" t="s">
        <v>45</v>
      </c>
      <c r="C46" s="176" t="s">
        <v>102</v>
      </c>
      <c r="D46" s="176"/>
      <c r="E46" s="176"/>
      <c r="F46" s="176"/>
      <c r="G46" s="176"/>
    </row>
    <row r="47" spans="1:11" ht="15.75">
      <c r="B47" s="222"/>
      <c r="C47" s="178" t="s">
        <v>81</v>
      </c>
      <c r="D47" s="178"/>
      <c r="E47" s="178"/>
      <c r="F47" s="178"/>
      <c r="G47" s="178"/>
    </row>
    <row r="51" spans="2:7">
      <c r="B51" s="131" t="s">
        <v>355</v>
      </c>
      <c r="C51" s="172" t="s">
        <v>356</v>
      </c>
      <c r="D51" s="172"/>
      <c r="E51" s="172"/>
      <c r="F51" s="172"/>
      <c r="G51" s="172"/>
    </row>
  </sheetData>
  <mergeCells count="40">
    <mergeCell ref="E14:F14"/>
    <mergeCell ref="A4:G4"/>
    <mergeCell ref="A5:G5"/>
    <mergeCell ref="E11:F11"/>
    <mergeCell ref="E12:F12"/>
    <mergeCell ref="E13:F13"/>
    <mergeCell ref="E26:F26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38:F38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B46:B47"/>
    <mergeCell ref="C46:G46"/>
    <mergeCell ref="C47:G47"/>
    <mergeCell ref="C51:G51"/>
    <mergeCell ref="E39:F39"/>
    <mergeCell ref="E40:F40"/>
    <mergeCell ref="E41:F41"/>
    <mergeCell ref="E42:F42"/>
    <mergeCell ref="C44:G44"/>
    <mergeCell ref="C45:G45"/>
  </mergeCells>
  <printOptions horizontalCentered="1"/>
  <pageMargins left="0" right="0" top="0" bottom="0" header="0.3" footer="0.3"/>
  <pageSetup paperSize="9" scale="6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K51"/>
  <sheetViews>
    <sheetView topLeftCell="A10" workbookViewId="0">
      <selection activeCell="L42" sqref="L42"/>
    </sheetView>
  </sheetViews>
  <sheetFormatPr defaultRowHeight="15"/>
  <cols>
    <col min="1" max="1" width="5.7109375" customWidth="1"/>
    <col min="2" max="2" width="49.7109375" customWidth="1"/>
    <col min="3" max="3" width="8.28515625" customWidth="1"/>
    <col min="4" max="4" width="9.5703125" customWidth="1"/>
    <col min="5" max="5" width="5.28515625" customWidth="1"/>
    <col min="6" max="6" width="20.42578125" customWidth="1"/>
    <col min="9" max="9" width="22.5703125" customWidth="1"/>
    <col min="11" max="11" width="16.85546875" customWidth="1"/>
  </cols>
  <sheetData>
    <row r="1" spans="1:11">
      <c r="A1" t="s">
        <v>107</v>
      </c>
      <c r="F1" s="1" t="s">
        <v>0</v>
      </c>
    </row>
    <row r="2" spans="1:11">
      <c r="A2" t="s">
        <v>115</v>
      </c>
      <c r="F2" s="1" t="s">
        <v>1</v>
      </c>
    </row>
    <row r="3" spans="1:11">
      <c r="A3" t="s">
        <v>175</v>
      </c>
      <c r="F3" s="1" t="s">
        <v>103</v>
      </c>
    </row>
    <row r="4" spans="1:11" ht="33" customHeight="1">
      <c r="A4" s="174" t="s">
        <v>2</v>
      </c>
      <c r="B4" s="174"/>
      <c r="C4" s="174"/>
      <c r="D4" s="174"/>
      <c r="E4" s="174"/>
      <c r="F4" s="174"/>
      <c r="G4" s="174"/>
    </row>
    <row r="5" spans="1:11" ht="18.75">
      <c r="A5" s="175" t="s">
        <v>479</v>
      </c>
      <c r="B5" s="175"/>
      <c r="C5" s="175"/>
      <c r="D5" s="175"/>
      <c r="E5" s="175"/>
      <c r="F5" s="175"/>
      <c r="G5" s="175"/>
    </row>
    <row r="6" spans="1:11">
      <c r="A6" s="6" t="s">
        <v>3</v>
      </c>
    </row>
    <row r="7" spans="1:11">
      <c r="A7" t="s">
        <v>484</v>
      </c>
      <c r="C7" t="s">
        <v>240</v>
      </c>
      <c r="F7" s="73">
        <v>264220000</v>
      </c>
      <c r="G7" t="s">
        <v>241</v>
      </c>
      <c r="I7" s="148"/>
      <c r="K7" s="148"/>
    </row>
    <row r="8" spans="1:11">
      <c r="A8" t="s">
        <v>485</v>
      </c>
      <c r="C8" t="s">
        <v>243</v>
      </c>
      <c r="F8" s="73">
        <v>264220000</v>
      </c>
      <c r="G8" t="s">
        <v>242</v>
      </c>
      <c r="I8" s="148"/>
      <c r="K8" s="148"/>
    </row>
    <row r="9" spans="1:11">
      <c r="A9" t="s">
        <v>238</v>
      </c>
      <c r="I9" s="148"/>
      <c r="K9" s="148"/>
    </row>
    <row r="10" spans="1:11" ht="21" customHeight="1">
      <c r="A10" s="12" t="s">
        <v>5</v>
      </c>
      <c r="B10" s="11"/>
      <c r="C10" t="s">
        <v>6</v>
      </c>
      <c r="D10" t="s">
        <v>4</v>
      </c>
      <c r="G10" s="94" t="s">
        <v>7</v>
      </c>
      <c r="K10" s="95"/>
    </row>
    <row r="11" spans="1:11" ht="57">
      <c r="A11" s="5" t="s">
        <v>8</v>
      </c>
      <c r="B11" s="5" t="s">
        <v>9</v>
      </c>
      <c r="C11" s="5" t="s">
        <v>24</v>
      </c>
      <c r="D11" s="5" t="s">
        <v>10</v>
      </c>
      <c r="E11" s="212" t="s">
        <v>11</v>
      </c>
      <c r="F11" s="213"/>
      <c r="G11" s="5" t="s">
        <v>12</v>
      </c>
    </row>
    <row r="12" spans="1:11" ht="14.45" customHeight="1">
      <c r="A12" s="3" t="s">
        <v>25</v>
      </c>
      <c r="B12" s="7" t="s">
        <v>49</v>
      </c>
      <c r="C12" s="13">
        <v>10</v>
      </c>
      <c r="D12" s="2"/>
      <c r="E12" s="214">
        <v>4028414</v>
      </c>
      <c r="F12" s="221"/>
      <c r="G12" s="2"/>
    </row>
    <row r="13" spans="1:11" ht="14.45" customHeight="1">
      <c r="A13" s="3" t="s">
        <v>26</v>
      </c>
      <c r="B13" s="7" t="s">
        <v>20</v>
      </c>
      <c r="C13" s="13"/>
      <c r="D13" s="2"/>
      <c r="E13" s="208"/>
      <c r="F13" s="209"/>
      <c r="G13" s="2"/>
    </row>
    <row r="14" spans="1:11" ht="14.45" customHeight="1">
      <c r="A14" s="4" t="s">
        <v>27</v>
      </c>
      <c r="B14" s="8" t="s">
        <v>22</v>
      </c>
      <c r="C14" s="14">
        <v>22</v>
      </c>
      <c r="D14" s="2"/>
      <c r="E14" s="210">
        <v>53100</v>
      </c>
      <c r="F14" s="211">
        <v>13787400</v>
      </c>
      <c r="G14" s="2"/>
      <c r="I14" s="95">
        <f>F8*1%</f>
        <v>2642200</v>
      </c>
    </row>
    <row r="15" spans="1:11" ht="14.45" customHeight="1">
      <c r="A15" s="4" t="s">
        <v>28</v>
      </c>
      <c r="B15" s="8" t="s">
        <v>21</v>
      </c>
      <c r="C15" s="14">
        <v>23</v>
      </c>
      <c r="D15" s="2"/>
      <c r="E15" s="208"/>
      <c r="F15" s="209"/>
      <c r="G15" s="2"/>
    </row>
    <row r="16" spans="1:11" ht="14.45" customHeight="1">
      <c r="A16" s="4" t="s">
        <v>29</v>
      </c>
      <c r="B16" s="8" t="s">
        <v>23</v>
      </c>
      <c r="C16" s="14">
        <v>24</v>
      </c>
      <c r="D16" s="2"/>
      <c r="E16" s="208"/>
      <c r="F16" s="209"/>
      <c r="G16" s="2"/>
    </row>
    <row r="17" spans="1:9" ht="14.45" customHeight="1">
      <c r="A17" s="3" t="s">
        <v>30</v>
      </c>
      <c r="B17" s="7" t="s">
        <v>50</v>
      </c>
      <c r="C17" s="13">
        <v>25</v>
      </c>
      <c r="D17" s="2"/>
      <c r="E17" s="217">
        <f>E19</f>
        <v>0</v>
      </c>
      <c r="F17" s="218">
        <v>3364</v>
      </c>
      <c r="G17" s="2"/>
    </row>
    <row r="18" spans="1:9" ht="14.45" customHeight="1">
      <c r="A18" s="4"/>
      <c r="B18" s="8" t="s">
        <v>51</v>
      </c>
      <c r="C18" s="14" t="s">
        <v>60</v>
      </c>
      <c r="D18" s="2"/>
      <c r="E18" s="208"/>
      <c r="F18" s="209"/>
      <c r="G18" s="2"/>
    </row>
    <row r="19" spans="1:9" ht="14.45" customHeight="1">
      <c r="A19" s="4"/>
      <c r="B19" s="8" t="s">
        <v>52</v>
      </c>
      <c r="C19" s="14" t="s">
        <v>61</v>
      </c>
      <c r="D19" s="2"/>
      <c r="E19" s="219"/>
      <c r="F19" s="220"/>
      <c r="G19" s="2"/>
    </row>
    <row r="20" spans="1:9" ht="14.45" customHeight="1">
      <c r="A20" s="4"/>
      <c r="B20" s="7" t="s">
        <v>67</v>
      </c>
      <c r="C20" s="13"/>
      <c r="D20" s="2"/>
      <c r="E20" s="214"/>
      <c r="F20" s="221"/>
      <c r="G20" s="2"/>
    </row>
    <row r="21" spans="1:9" ht="14.45" customHeight="1">
      <c r="A21" s="3" t="s">
        <v>31</v>
      </c>
      <c r="B21" s="7" t="s">
        <v>46</v>
      </c>
      <c r="C21" s="13">
        <v>28</v>
      </c>
      <c r="D21" s="2"/>
      <c r="E21" s="217">
        <f>E22</f>
        <v>0</v>
      </c>
      <c r="F21" s="221"/>
      <c r="G21" s="2"/>
    </row>
    <row r="22" spans="1:9" ht="14.45" customHeight="1">
      <c r="A22" s="4"/>
      <c r="B22" s="9" t="s">
        <v>13</v>
      </c>
      <c r="C22" s="14" t="s">
        <v>62</v>
      </c>
      <c r="D22" s="2"/>
      <c r="E22" s="219"/>
      <c r="F22" s="220"/>
      <c r="G22" s="2"/>
      <c r="I22" s="95">
        <f>F7*2%*75%</f>
        <v>3963300</v>
      </c>
    </row>
    <row r="23" spans="1:9" ht="14.45" customHeight="1">
      <c r="A23" s="4"/>
      <c r="B23" s="9" t="s">
        <v>53</v>
      </c>
      <c r="C23" s="14" t="s">
        <v>63</v>
      </c>
      <c r="D23" s="2"/>
      <c r="E23" s="208"/>
      <c r="F23" s="209"/>
      <c r="G23" s="2"/>
    </row>
    <row r="24" spans="1:9" ht="14.45" customHeight="1">
      <c r="A24" s="4" t="s">
        <v>32</v>
      </c>
      <c r="B24" s="8" t="s">
        <v>54</v>
      </c>
      <c r="C24" s="14">
        <v>40</v>
      </c>
      <c r="D24" s="2"/>
      <c r="E24" s="208"/>
      <c r="F24" s="209"/>
      <c r="G24" s="2"/>
    </row>
    <row r="25" spans="1:9" ht="14.45" customHeight="1">
      <c r="A25" s="4" t="s">
        <v>108</v>
      </c>
      <c r="B25" s="2" t="s">
        <v>109</v>
      </c>
      <c r="C25" s="14">
        <v>47</v>
      </c>
      <c r="E25" s="208"/>
      <c r="F25" s="209"/>
      <c r="G25" s="2"/>
    </row>
    <row r="26" spans="1:9" ht="14.45" customHeight="1">
      <c r="A26" s="3"/>
      <c r="B26" s="7" t="s">
        <v>55</v>
      </c>
      <c r="C26" s="13"/>
      <c r="D26" s="2"/>
      <c r="E26" s="217">
        <f>E21+E17+E14</f>
        <v>53100</v>
      </c>
      <c r="F26" s="221"/>
      <c r="G26" s="2"/>
    </row>
    <row r="27" spans="1:9" ht="14.45" customHeight="1">
      <c r="A27" s="3" t="s">
        <v>33</v>
      </c>
      <c r="B27" s="7" t="s">
        <v>56</v>
      </c>
      <c r="C27" s="13"/>
      <c r="D27" s="2"/>
      <c r="E27" s="208"/>
      <c r="F27" s="209"/>
      <c r="G27" s="2"/>
    </row>
    <row r="28" spans="1:9" ht="14.45" customHeight="1">
      <c r="A28" s="4" t="s">
        <v>34</v>
      </c>
      <c r="B28" s="9" t="s">
        <v>57</v>
      </c>
      <c r="C28" s="14">
        <v>31</v>
      </c>
      <c r="D28" s="2"/>
      <c r="E28" s="210">
        <v>1800000</v>
      </c>
      <c r="F28" s="211">
        <v>29000000</v>
      </c>
      <c r="G28" s="2"/>
    </row>
    <row r="29" spans="1:9" ht="14.45" customHeight="1">
      <c r="A29" s="4" t="s">
        <v>35</v>
      </c>
      <c r="B29" s="9" t="s">
        <v>14</v>
      </c>
      <c r="C29" s="14">
        <v>32</v>
      </c>
      <c r="D29" s="2"/>
      <c r="E29" s="208"/>
      <c r="F29" s="209"/>
      <c r="G29" s="2"/>
    </row>
    <row r="30" spans="1:9" ht="14.45" customHeight="1">
      <c r="A30" s="4" t="s">
        <v>36</v>
      </c>
      <c r="B30" s="8" t="s">
        <v>58</v>
      </c>
      <c r="C30" s="14">
        <v>33</v>
      </c>
      <c r="D30" s="2"/>
      <c r="E30" s="210"/>
      <c r="F30" s="211"/>
      <c r="G30" s="2"/>
    </row>
    <row r="31" spans="1:9" s="45" customFormat="1" ht="14.45" customHeight="1">
      <c r="A31" s="41" t="s">
        <v>37</v>
      </c>
      <c r="B31" s="42" t="s">
        <v>43</v>
      </c>
      <c r="C31" s="43">
        <v>34</v>
      </c>
      <c r="D31" s="44"/>
      <c r="E31" s="210"/>
      <c r="F31" s="209"/>
      <c r="G31" s="44"/>
    </row>
    <row r="32" spans="1:9" ht="14.45" customHeight="1">
      <c r="A32" s="4"/>
      <c r="B32" s="9" t="s">
        <v>59</v>
      </c>
      <c r="C32" s="14" t="s">
        <v>64</v>
      </c>
      <c r="D32" s="2"/>
      <c r="E32" s="208"/>
      <c r="F32" s="209"/>
      <c r="G32" s="2"/>
    </row>
    <row r="33" spans="1:11" ht="14.45" customHeight="1">
      <c r="A33" s="4"/>
      <c r="B33" s="8" t="s">
        <v>15</v>
      </c>
      <c r="C33" s="14" t="s">
        <v>65</v>
      </c>
      <c r="D33" s="2"/>
      <c r="E33" s="210"/>
      <c r="F33" s="211"/>
      <c r="G33" s="2"/>
    </row>
    <row r="34" spans="1:11" ht="14.45" customHeight="1">
      <c r="A34" s="4"/>
      <c r="B34" s="8" t="s">
        <v>16</v>
      </c>
      <c r="C34" s="14" t="s">
        <v>66</v>
      </c>
      <c r="D34" s="2"/>
      <c r="E34" s="208"/>
      <c r="F34" s="209"/>
      <c r="G34" s="2"/>
    </row>
    <row r="35" spans="1:11" ht="14.45" customHeight="1">
      <c r="A35" s="4" t="s">
        <v>38</v>
      </c>
      <c r="B35" s="8" t="s">
        <v>17</v>
      </c>
      <c r="C35" s="14">
        <v>37</v>
      </c>
      <c r="D35" s="2"/>
      <c r="E35" s="219"/>
      <c r="F35" s="220"/>
      <c r="G35" s="2"/>
    </row>
    <row r="36" spans="1:11" ht="14.45" customHeight="1">
      <c r="A36" s="4"/>
      <c r="B36" s="7" t="s">
        <v>42</v>
      </c>
      <c r="C36" s="13"/>
      <c r="D36" s="2"/>
      <c r="E36" s="223">
        <f>E28+E29+E30+E31+E35</f>
        <v>1800000</v>
      </c>
      <c r="F36" s="221"/>
      <c r="G36" s="2"/>
    </row>
    <row r="37" spans="1:11" ht="14.45" customHeight="1">
      <c r="A37" s="4" t="s">
        <v>39</v>
      </c>
      <c r="B37" s="8" t="s">
        <v>106</v>
      </c>
      <c r="C37" s="14">
        <v>39</v>
      </c>
      <c r="D37" s="2"/>
      <c r="E37" s="241">
        <v>776730</v>
      </c>
      <c r="F37" s="242">
        <v>3170640</v>
      </c>
      <c r="G37" s="2"/>
    </row>
    <row r="38" spans="1:11" ht="14.45" customHeight="1">
      <c r="A38" s="4" t="s">
        <v>40</v>
      </c>
      <c r="B38" s="8" t="s">
        <v>47</v>
      </c>
      <c r="C38" s="14">
        <v>42</v>
      </c>
      <c r="D38" s="2"/>
      <c r="E38" s="208"/>
      <c r="F38" s="209"/>
      <c r="G38" s="2"/>
    </row>
    <row r="39" spans="1:11" ht="14.45" customHeight="1">
      <c r="A39" s="4" t="s">
        <v>111</v>
      </c>
      <c r="B39" s="8" t="s">
        <v>110</v>
      </c>
      <c r="C39" s="14">
        <v>48</v>
      </c>
      <c r="D39" s="2"/>
      <c r="E39" s="208"/>
      <c r="F39" s="209"/>
      <c r="G39" s="2"/>
    </row>
    <row r="40" spans="1:11" ht="14.45" customHeight="1">
      <c r="A40" s="3"/>
      <c r="B40" s="7" t="s">
        <v>48</v>
      </c>
      <c r="C40" s="14"/>
      <c r="D40" s="2"/>
      <c r="E40" s="214">
        <f>E36+E37</f>
        <v>2576730</v>
      </c>
      <c r="F40" s="221"/>
      <c r="G40" s="2"/>
      <c r="I40" s="151">
        <v>1309860</v>
      </c>
      <c r="J40" t="s">
        <v>557</v>
      </c>
    </row>
    <row r="41" spans="1:11" ht="14.45" customHeight="1">
      <c r="A41" s="3" t="s">
        <v>112</v>
      </c>
      <c r="B41" s="10" t="s">
        <v>44</v>
      </c>
      <c r="C41" s="13">
        <v>50</v>
      </c>
      <c r="D41" s="2"/>
      <c r="E41" s="216">
        <f>E12+E26-E40</f>
        <v>1504784</v>
      </c>
      <c r="F41" s="209"/>
      <c r="G41" s="2"/>
      <c r="I41" s="95">
        <v>194924</v>
      </c>
      <c r="J41" t="s">
        <v>558</v>
      </c>
    </row>
    <row r="42" spans="1:11" ht="30" customHeight="1">
      <c r="A42" s="3" t="s">
        <v>41</v>
      </c>
      <c r="B42" s="10" t="s">
        <v>18</v>
      </c>
      <c r="C42" s="35">
        <v>60</v>
      </c>
      <c r="D42" s="2"/>
      <c r="E42" s="208"/>
      <c r="F42" s="209"/>
      <c r="G42" s="2"/>
      <c r="I42" s="135">
        <f>+I40+I41</f>
        <v>1504784</v>
      </c>
      <c r="K42" s="135">
        <f>+E41-I42</f>
        <v>0</v>
      </c>
    </row>
    <row r="43" spans="1:11" ht="28.9" customHeight="1">
      <c r="A43" s="12" t="s">
        <v>19</v>
      </c>
    </row>
    <row r="44" spans="1:11">
      <c r="C44" s="176" t="s">
        <v>483</v>
      </c>
      <c r="D44" s="176"/>
      <c r="E44" s="176"/>
      <c r="F44" s="176"/>
      <c r="G44" s="176"/>
    </row>
    <row r="45" spans="1:11">
      <c r="C45" s="176" t="s">
        <v>101</v>
      </c>
      <c r="D45" s="176"/>
      <c r="E45" s="176"/>
      <c r="F45" s="176"/>
      <c r="G45" s="176"/>
      <c r="I45" s="34"/>
    </row>
    <row r="46" spans="1:11">
      <c r="B46" s="222" t="s">
        <v>45</v>
      </c>
      <c r="C46" s="176" t="s">
        <v>102</v>
      </c>
      <c r="D46" s="176"/>
      <c r="E46" s="176"/>
      <c r="F46" s="176"/>
      <c r="G46" s="176"/>
    </row>
    <row r="47" spans="1:11" ht="15.75">
      <c r="B47" s="222"/>
      <c r="C47" s="178" t="s">
        <v>81</v>
      </c>
      <c r="D47" s="178"/>
      <c r="E47" s="178"/>
      <c r="F47" s="178"/>
      <c r="G47" s="178"/>
    </row>
    <row r="51" spans="2:7">
      <c r="B51" s="131" t="s">
        <v>355</v>
      </c>
      <c r="C51" s="172" t="s">
        <v>356</v>
      </c>
      <c r="D51" s="172"/>
      <c r="E51" s="172"/>
      <c r="F51" s="172"/>
      <c r="G51" s="172"/>
    </row>
  </sheetData>
  <mergeCells count="40">
    <mergeCell ref="E14:F14"/>
    <mergeCell ref="A4:G4"/>
    <mergeCell ref="A5:G5"/>
    <mergeCell ref="E11:F11"/>
    <mergeCell ref="E12:F12"/>
    <mergeCell ref="E13:F13"/>
    <mergeCell ref="E26:F26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38:F38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B46:B47"/>
    <mergeCell ref="C46:G46"/>
    <mergeCell ref="C47:G47"/>
    <mergeCell ref="C51:G51"/>
    <mergeCell ref="E39:F39"/>
    <mergeCell ref="E40:F40"/>
    <mergeCell ref="E41:F41"/>
    <mergeCell ref="E42:F42"/>
    <mergeCell ref="C44:G44"/>
    <mergeCell ref="C45:G45"/>
  </mergeCells>
  <printOptions horizontalCentered="1"/>
  <pageMargins left="0" right="0" top="0" bottom="0" header="0.3" footer="0.3"/>
  <pageSetup paperSize="9" scale="6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51"/>
  <sheetViews>
    <sheetView topLeftCell="A11" workbookViewId="0">
      <selection activeCell="E36" sqref="E36:F36"/>
    </sheetView>
  </sheetViews>
  <sheetFormatPr defaultRowHeight="15"/>
  <cols>
    <col min="1" max="1" width="5.7109375" customWidth="1"/>
    <col min="2" max="2" width="49.7109375" customWidth="1"/>
    <col min="3" max="3" width="8.28515625" customWidth="1"/>
    <col min="4" max="4" width="9.5703125" customWidth="1"/>
    <col min="5" max="5" width="5.28515625" customWidth="1"/>
    <col min="6" max="6" width="20.42578125" customWidth="1"/>
    <col min="9" max="9" width="22.5703125" customWidth="1"/>
    <col min="11" max="11" width="16.85546875" customWidth="1"/>
  </cols>
  <sheetData>
    <row r="1" spans="1:11">
      <c r="A1" t="s">
        <v>550</v>
      </c>
      <c r="F1" s="1" t="s">
        <v>0</v>
      </c>
    </row>
    <row r="2" spans="1:11">
      <c r="A2" t="s">
        <v>115</v>
      </c>
      <c r="F2" s="1" t="s">
        <v>1</v>
      </c>
    </row>
    <row r="3" spans="1:11">
      <c r="A3" t="s">
        <v>559</v>
      </c>
      <c r="F3" s="1" t="s">
        <v>103</v>
      </c>
    </row>
    <row r="4" spans="1:11" ht="33" customHeight="1">
      <c r="A4" s="174" t="s">
        <v>2</v>
      </c>
      <c r="B4" s="174"/>
      <c r="C4" s="174"/>
      <c r="D4" s="174"/>
      <c r="E4" s="174"/>
      <c r="F4" s="174"/>
      <c r="G4" s="174"/>
    </row>
    <row r="5" spans="1:11" ht="18.75">
      <c r="A5" s="175" t="s">
        <v>560</v>
      </c>
      <c r="B5" s="175"/>
      <c r="C5" s="175"/>
      <c r="D5" s="175"/>
      <c r="E5" s="175"/>
      <c r="F5" s="175"/>
      <c r="G5" s="175"/>
    </row>
    <row r="6" spans="1:11">
      <c r="A6" s="6" t="s">
        <v>3</v>
      </c>
    </row>
    <row r="7" spans="1:11">
      <c r="A7" t="s">
        <v>561</v>
      </c>
      <c r="C7" t="s">
        <v>240</v>
      </c>
      <c r="F7" s="73">
        <v>227050000</v>
      </c>
      <c r="G7" t="s">
        <v>241</v>
      </c>
      <c r="I7" s="148"/>
      <c r="K7" s="148"/>
    </row>
    <row r="8" spans="1:11">
      <c r="A8" t="s">
        <v>563</v>
      </c>
      <c r="C8" t="s">
        <v>243</v>
      </c>
      <c r="F8" s="73">
        <v>227050000</v>
      </c>
      <c r="G8" t="s">
        <v>242</v>
      </c>
      <c r="I8" s="148"/>
      <c r="K8" s="148"/>
    </row>
    <row r="9" spans="1:11">
      <c r="A9" t="s">
        <v>238</v>
      </c>
      <c r="I9" s="148"/>
      <c r="K9" s="148"/>
    </row>
    <row r="10" spans="1:11" ht="21" customHeight="1">
      <c r="A10" s="12" t="s">
        <v>5</v>
      </c>
      <c r="B10" s="11"/>
      <c r="C10" t="s">
        <v>6</v>
      </c>
      <c r="D10" t="s">
        <v>4</v>
      </c>
      <c r="G10" s="94" t="s">
        <v>7</v>
      </c>
      <c r="K10" s="95"/>
    </row>
    <row r="11" spans="1:11" ht="57">
      <c r="A11" s="5" t="s">
        <v>8</v>
      </c>
      <c r="B11" s="5" t="s">
        <v>9</v>
      </c>
      <c r="C11" s="5" t="s">
        <v>24</v>
      </c>
      <c r="D11" s="5" t="s">
        <v>10</v>
      </c>
      <c r="E11" s="212" t="s">
        <v>11</v>
      </c>
      <c r="F11" s="213"/>
      <c r="G11" s="5" t="s">
        <v>12</v>
      </c>
    </row>
    <row r="12" spans="1:11" ht="14.45" customHeight="1">
      <c r="A12" s="3" t="s">
        <v>25</v>
      </c>
      <c r="B12" s="7" t="s">
        <v>49</v>
      </c>
      <c r="C12" s="13">
        <v>10</v>
      </c>
      <c r="D12" s="2"/>
      <c r="E12" s="214">
        <v>1504784</v>
      </c>
      <c r="F12" s="221"/>
      <c r="G12" s="2"/>
    </row>
    <row r="13" spans="1:11" ht="14.45" customHeight="1">
      <c r="A13" s="3" t="s">
        <v>26</v>
      </c>
      <c r="B13" s="7" t="s">
        <v>20</v>
      </c>
      <c r="C13" s="13"/>
      <c r="D13" s="2"/>
      <c r="E13" s="208"/>
      <c r="F13" s="209"/>
      <c r="G13" s="2"/>
    </row>
    <row r="14" spans="1:11" ht="14.45" customHeight="1">
      <c r="A14" s="4" t="s">
        <v>27</v>
      </c>
      <c r="B14" s="8" t="s">
        <v>22</v>
      </c>
      <c r="C14" s="14">
        <v>22</v>
      </c>
      <c r="D14" s="2"/>
      <c r="E14" s="210">
        <f>+'SỔ TM 2025'!F57+'SỔ TM 2025'!F59+'SỔ TM 2025'!F69+'SỔ TM 2025'!F71+'SỔ TM 2025'!F73+'SỔ TM 2025'!F78</f>
        <v>7422150</v>
      </c>
      <c r="F14" s="211">
        <v>13787400</v>
      </c>
      <c r="G14" s="2"/>
      <c r="I14" s="95"/>
    </row>
    <row r="15" spans="1:11" ht="14.45" customHeight="1">
      <c r="A15" s="4" t="s">
        <v>28</v>
      </c>
      <c r="B15" s="8" t="s">
        <v>21</v>
      </c>
      <c r="C15" s="14">
        <v>23</v>
      </c>
      <c r="D15" s="2"/>
      <c r="E15" s="208"/>
      <c r="F15" s="209"/>
      <c r="G15" s="2"/>
    </row>
    <row r="16" spans="1:11" ht="14.45" customHeight="1">
      <c r="A16" s="4" t="s">
        <v>29</v>
      </c>
      <c r="B16" s="8" t="s">
        <v>23</v>
      </c>
      <c r="C16" s="14">
        <v>24</v>
      </c>
      <c r="D16" s="2"/>
      <c r="E16" s="208"/>
      <c r="F16" s="209"/>
      <c r="G16" s="2"/>
    </row>
    <row r="17" spans="1:9" ht="14.45" customHeight="1">
      <c r="A17" s="3" t="s">
        <v>30</v>
      </c>
      <c r="B17" s="7" t="s">
        <v>50</v>
      </c>
      <c r="C17" s="13">
        <v>25</v>
      </c>
      <c r="D17" s="2"/>
      <c r="E17" s="217">
        <f>E19</f>
        <v>223396</v>
      </c>
      <c r="F17" s="218">
        <v>3364</v>
      </c>
      <c r="G17" s="2"/>
    </row>
    <row r="18" spans="1:9" ht="14.45" customHeight="1">
      <c r="A18" s="4"/>
      <c r="B18" s="8" t="s">
        <v>51</v>
      </c>
      <c r="C18" s="14" t="s">
        <v>60</v>
      </c>
      <c r="D18" s="2"/>
      <c r="E18" s="208"/>
      <c r="F18" s="209"/>
      <c r="G18" s="2"/>
    </row>
    <row r="19" spans="1:9" ht="14.45" customHeight="1">
      <c r="A19" s="4"/>
      <c r="B19" s="8" t="s">
        <v>52</v>
      </c>
      <c r="C19" s="14" t="s">
        <v>61</v>
      </c>
      <c r="D19" s="2"/>
      <c r="E19" s="219">
        <v>223396</v>
      </c>
      <c r="F19" s="220"/>
      <c r="G19" s="2"/>
    </row>
    <row r="20" spans="1:9" ht="14.45" customHeight="1">
      <c r="A20" s="4"/>
      <c r="B20" s="7" t="s">
        <v>67</v>
      </c>
      <c r="C20" s="13"/>
      <c r="D20" s="2"/>
      <c r="E20" s="214"/>
      <c r="F20" s="221"/>
      <c r="G20" s="2"/>
    </row>
    <row r="21" spans="1:9" ht="14.45" customHeight="1">
      <c r="A21" s="3" t="s">
        <v>31</v>
      </c>
      <c r="B21" s="7" t="s">
        <v>46</v>
      </c>
      <c r="C21" s="13">
        <v>28</v>
      </c>
      <c r="D21" s="2"/>
      <c r="E21" s="217">
        <f>E22</f>
        <v>7767000</v>
      </c>
      <c r="F21" s="221"/>
      <c r="G21" s="2"/>
    </row>
    <row r="22" spans="1:9" ht="14.45" customHeight="1">
      <c r="A22" s="4"/>
      <c r="B22" s="9" t="s">
        <v>13</v>
      </c>
      <c r="C22" s="14" t="s">
        <v>62</v>
      </c>
      <c r="D22" s="2"/>
      <c r="E22" s="219">
        <f>+'SỔ NH 2025 '!G53</f>
        <v>7767000</v>
      </c>
      <c r="F22" s="220"/>
      <c r="G22" s="2"/>
      <c r="I22" s="95"/>
    </row>
    <row r="23" spans="1:9" ht="14.45" customHeight="1">
      <c r="A23" s="4"/>
      <c r="B23" s="9" t="s">
        <v>53</v>
      </c>
      <c r="C23" s="14" t="s">
        <v>63</v>
      </c>
      <c r="D23" s="2"/>
      <c r="E23" s="208"/>
      <c r="F23" s="209"/>
      <c r="G23" s="2"/>
    </row>
    <row r="24" spans="1:9" ht="14.45" customHeight="1">
      <c r="A24" s="4" t="s">
        <v>32</v>
      </c>
      <c r="B24" s="8" t="s">
        <v>54</v>
      </c>
      <c r="C24" s="14">
        <v>40</v>
      </c>
      <c r="D24" s="2"/>
      <c r="E24" s="208"/>
      <c r="F24" s="209"/>
      <c r="G24" s="2"/>
    </row>
    <row r="25" spans="1:9" ht="14.45" customHeight="1">
      <c r="A25" s="4" t="s">
        <v>108</v>
      </c>
      <c r="B25" s="2" t="s">
        <v>109</v>
      </c>
      <c r="C25" s="14">
        <v>47</v>
      </c>
      <c r="E25" s="208"/>
      <c r="F25" s="209"/>
      <c r="G25" s="2"/>
    </row>
    <row r="26" spans="1:9" ht="14.45" customHeight="1">
      <c r="A26" s="3"/>
      <c r="B26" s="7" t="s">
        <v>55</v>
      </c>
      <c r="C26" s="13"/>
      <c r="D26" s="2"/>
      <c r="E26" s="217">
        <f>E21+E17+E14</f>
        <v>15412546</v>
      </c>
      <c r="F26" s="221"/>
      <c r="G26" s="2"/>
    </row>
    <row r="27" spans="1:9" ht="14.45" customHeight="1">
      <c r="A27" s="3" t="s">
        <v>33</v>
      </c>
      <c r="B27" s="7" t="s">
        <v>56</v>
      </c>
      <c r="C27" s="13"/>
      <c r="D27" s="2"/>
      <c r="E27" s="208"/>
      <c r="F27" s="209"/>
      <c r="G27" s="2"/>
    </row>
    <row r="28" spans="1:9" ht="14.45" customHeight="1">
      <c r="A28" s="4" t="s">
        <v>34</v>
      </c>
      <c r="B28" s="9" t="s">
        <v>57</v>
      </c>
      <c r="C28" s="14">
        <v>31</v>
      </c>
      <c r="D28" s="2"/>
      <c r="E28" s="210">
        <f>+SUM('SỔ TM 2025'!G51:G82)-'BCQT 2025 (14.06-31.12)'!E30:F30</f>
        <v>13761000</v>
      </c>
      <c r="F28" s="211"/>
      <c r="G28" s="2"/>
    </row>
    <row r="29" spans="1:9" ht="14.45" customHeight="1">
      <c r="A29" s="4" t="s">
        <v>35</v>
      </c>
      <c r="B29" s="9" t="s">
        <v>14</v>
      </c>
      <c r="C29" s="14">
        <v>32</v>
      </c>
      <c r="D29" s="2"/>
      <c r="E29" s="208"/>
      <c r="F29" s="209"/>
      <c r="G29" s="2"/>
    </row>
    <row r="30" spans="1:9" ht="14.45" customHeight="1">
      <c r="A30" s="4" t="s">
        <v>36</v>
      </c>
      <c r="B30" s="8" t="s">
        <v>58</v>
      </c>
      <c r="C30" s="14">
        <v>33</v>
      </c>
      <c r="D30" s="2"/>
      <c r="E30" s="210">
        <f>+'SỔ TM 2025'!G61</f>
        <v>756000</v>
      </c>
      <c r="F30" s="211"/>
      <c r="G30" s="2"/>
    </row>
    <row r="31" spans="1:9" s="45" customFormat="1" ht="14.45" customHeight="1">
      <c r="A31" s="41" t="s">
        <v>37</v>
      </c>
      <c r="B31" s="42" t="s">
        <v>43</v>
      </c>
      <c r="C31" s="43">
        <v>34</v>
      </c>
      <c r="D31" s="44"/>
      <c r="E31" s="210"/>
      <c r="F31" s="209"/>
      <c r="G31" s="44"/>
    </row>
    <row r="32" spans="1:9" ht="14.45" customHeight="1">
      <c r="A32" s="4"/>
      <c r="B32" s="9" t="s">
        <v>59</v>
      </c>
      <c r="C32" s="14" t="s">
        <v>64</v>
      </c>
      <c r="D32" s="2"/>
      <c r="E32" s="208"/>
      <c r="F32" s="209"/>
      <c r="G32" s="2"/>
    </row>
    <row r="33" spans="1:11" ht="14.45" customHeight="1">
      <c r="A33" s="4"/>
      <c r="B33" s="8" t="s">
        <v>15</v>
      </c>
      <c r="C33" s="14" t="s">
        <v>65</v>
      </c>
      <c r="D33" s="2"/>
      <c r="E33" s="210"/>
      <c r="F33" s="211"/>
      <c r="G33" s="2"/>
    </row>
    <row r="34" spans="1:11" ht="14.45" customHeight="1">
      <c r="A34" s="4"/>
      <c r="B34" s="8" t="s">
        <v>16</v>
      </c>
      <c r="C34" s="14" t="s">
        <v>66</v>
      </c>
      <c r="D34" s="2"/>
      <c r="E34" s="208"/>
      <c r="F34" s="209"/>
      <c r="G34" s="2"/>
    </row>
    <row r="35" spans="1:11" ht="14.45" customHeight="1">
      <c r="A35" s="4" t="s">
        <v>38</v>
      </c>
      <c r="B35" s="8" t="s">
        <v>17</v>
      </c>
      <c r="C35" s="14">
        <v>37</v>
      </c>
      <c r="D35" s="2"/>
      <c r="E35" s="219">
        <v>269500</v>
      </c>
      <c r="F35" s="220"/>
      <c r="G35" s="2"/>
    </row>
    <row r="36" spans="1:11" ht="14.45" customHeight="1">
      <c r="A36" s="4"/>
      <c r="B36" s="7" t="s">
        <v>42</v>
      </c>
      <c r="C36" s="13"/>
      <c r="D36" s="2"/>
      <c r="E36" s="223">
        <f>E28+E29+E30+E31+E35</f>
        <v>14786500</v>
      </c>
      <c r="F36" s="221"/>
      <c r="G36" s="2"/>
    </row>
    <row r="37" spans="1:11" ht="14.45" customHeight="1">
      <c r="A37" s="4" t="s">
        <v>39</v>
      </c>
      <c r="B37" s="8" t="s">
        <v>106</v>
      </c>
      <c r="C37" s="14">
        <v>39</v>
      </c>
      <c r="D37" s="2"/>
      <c r="E37" s="241">
        <f>+'SỔ NH 2025 '!H54+'SỔ NH 2025 '!H55</f>
        <v>1569390</v>
      </c>
      <c r="F37" s="242">
        <v>3170640</v>
      </c>
      <c r="G37" s="2"/>
    </row>
    <row r="38" spans="1:11" ht="14.45" customHeight="1">
      <c r="A38" s="4" t="s">
        <v>40</v>
      </c>
      <c r="B38" s="8" t="s">
        <v>47</v>
      </c>
      <c r="C38" s="14">
        <v>42</v>
      </c>
      <c r="D38" s="2"/>
      <c r="E38" s="208"/>
      <c r="F38" s="209"/>
      <c r="G38" s="2"/>
    </row>
    <row r="39" spans="1:11" ht="14.45" customHeight="1">
      <c r="A39" s="4" t="s">
        <v>111</v>
      </c>
      <c r="B39" s="8" t="s">
        <v>110</v>
      </c>
      <c r="C39" s="14">
        <v>48</v>
      </c>
      <c r="D39" s="2"/>
      <c r="E39" s="208"/>
      <c r="F39" s="209"/>
      <c r="G39" s="2"/>
    </row>
    <row r="40" spans="1:11" ht="14.45" customHeight="1">
      <c r="A40" s="3"/>
      <c r="B40" s="7" t="s">
        <v>48</v>
      </c>
      <c r="C40" s="14"/>
      <c r="D40" s="2"/>
      <c r="E40" s="214">
        <f>E36+E37</f>
        <v>16355890</v>
      </c>
      <c r="F40" s="221"/>
      <c r="G40" s="2"/>
      <c r="I40" s="151">
        <f>+'SỔ TM 2025'!H84</f>
        <v>438010</v>
      </c>
      <c r="J40" t="s">
        <v>557</v>
      </c>
    </row>
    <row r="41" spans="1:11" ht="14.45" customHeight="1">
      <c r="A41" s="3" t="s">
        <v>112</v>
      </c>
      <c r="B41" s="10" t="s">
        <v>44</v>
      </c>
      <c r="C41" s="13">
        <v>50</v>
      </c>
      <c r="D41" s="2"/>
      <c r="E41" s="216">
        <f>E12+E26-E40</f>
        <v>561440</v>
      </c>
      <c r="F41" s="209"/>
      <c r="G41" s="2"/>
      <c r="I41" s="95">
        <f>+'SỔ NH 2025 '!I69</f>
        <v>123430</v>
      </c>
      <c r="J41" t="s">
        <v>558</v>
      </c>
    </row>
    <row r="42" spans="1:11" ht="30" customHeight="1">
      <c r="A42" s="3" t="s">
        <v>41</v>
      </c>
      <c r="B42" s="10" t="s">
        <v>18</v>
      </c>
      <c r="C42" s="35">
        <v>60</v>
      </c>
      <c r="D42" s="2"/>
      <c r="E42" s="208"/>
      <c r="F42" s="209"/>
      <c r="G42" s="2"/>
      <c r="I42" s="135">
        <f>+I40+I41</f>
        <v>561440</v>
      </c>
      <c r="K42" s="135">
        <f>+E41-I42</f>
        <v>0</v>
      </c>
    </row>
    <row r="43" spans="1:11" ht="28.9" customHeight="1">
      <c r="A43" s="12" t="s">
        <v>19</v>
      </c>
    </row>
    <row r="44" spans="1:11">
      <c r="C44" s="176" t="s">
        <v>562</v>
      </c>
      <c r="D44" s="176"/>
      <c r="E44" s="176"/>
      <c r="F44" s="176"/>
      <c r="G44" s="176"/>
    </row>
    <row r="45" spans="1:11">
      <c r="C45" s="176" t="s">
        <v>101</v>
      </c>
      <c r="D45" s="176"/>
      <c r="E45" s="176"/>
      <c r="F45" s="176"/>
      <c r="G45" s="176"/>
      <c r="I45" s="34"/>
    </row>
    <row r="46" spans="1:11">
      <c r="B46" s="222" t="s">
        <v>45</v>
      </c>
      <c r="C46" s="176" t="s">
        <v>102</v>
      </c>
      <c r="D46" s="176"/>
      <c r="E46" s="176"/>
      <c r="F46" s="176"/>
      <c r="G46" s="176"/>
    </row>
    <row r="47" spans="1:11" ht="15.75">
      <c r="B47" s="222"/>
      <c r="C47" s="178" t="s">
        <v>81</v>
      </c>
      <c r="D47" s="178"/>
      <c r="E47" s="178"/>
      <c r="F47" s="178"/>
      <c r="G47" s="178"/>
    </row>
    <row r="51" spans="2:7">
      <c r="B51" s="131" t="s">
        <v>355</v>
      </c>
      <c r="C51" s="172" t="s">
        <v>356</v>
      </c>
      <c r="D51" s="172"/>
      <c r="E51" s="172"/>
      <c r="F51" s="172"/>
      <c r="G51" s="172"/>
    </row>
  </sheetData>
  <mergeCells count="40">
    <mergeCell ref="B46:B47"/>
    <mergeCell ref="C46:G46"/>
    <mergeCell ref="C47:G47"/>
    <mergeCell ref="C51:G51"/>
    <mergeCell ref="E39:F39"/>
    <mergeCell ref="E40:F40"/>
    <mergeCell ref="E41:F41"/>
    <mergeCell ref="E42:F42"/>
    <mergeCell ref="C44:G44"/>
    <mergeCell ref="C45:G45"/>
    <mergeCell ref="E38:F38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26:F26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14:F14"/>
    <mergeCell ref="A4:G4"/>
    <mergeCell ref="A5:G5"/>
    <mergeCell ref="E11:F11"/>
    <mergeCell ref="E12:F12"/>
    <mergeCell ref="E13:F13"/>
  </mergeCells>
  <printOptions horizontalCentered="1"/>
  <pageMargins left="0" right="0" top="0" bottom="0" header="0.3" footer="0.3"/>
  <pageSetup paperSize="9" scale="6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K98"/>
  <sheetViews>
    <sheetView topLeftCell="A26" zoomScaleNormal="100" workbookViewId="0">
      <selection activeCell="E35" sqref="E35"/>
    </sheetView>
  </sheetViews>
  <sheetFormatPr defaultRowHeight="15"/>
  <cols>
    <col min="1" max="1" width="12.42578125" customWidth="1"/>
    <col min="2" max="2" width="14.28515625" customWidth="1"/>
    <col min="3" max="3" width="12.28515625" customWidth="1"/>
    <col min="4" max="4" width="13.5703125" customWidth="1"/>
    <col min="5" max="5" width="55.140625" customWidth="1"/>
    <col min="6" max="6" width="12.42578125" customWidth="1"/>
    <col min="7" max="7" width="12.7109375" customWidth="1"/>
    <col min="8" max="8" width="11.42578125" customWidth="1"/>
    <col min="9" max="9" width="7.7109375" customWidth="1"/>
    <col min="10" max="10" width="14.7109375" customWidth="1"/>
    <col min="258" max="258" width="14.28515625" customWidth="1"/>
    <col min="261" max="261" width="64" customWidth="1"/>
    <col min="262" max="264" width="14.7109375" customWidth="1"/>
    <col min="265" max="265" width="13.7109375" customWidth="1"/>
    <col min="514" max="514" width="14.28515625" customWidth="1"/>
    <col min="517" max="517" width="64" customWidth="1"/>
    <col min="518" max="520" width="14.7109375" customWidth="1"/>
    <col min="521" max="521" width="13.7109375" customWidth="1"/>
    <col min="770" max="770" width="14.28515625" customWidth="1"/>
    <col min="773" max="773" width="64" customWidth="1"/>
    <col min="774" max="776" width="14.7109375" customWidth="1"/>
    <col min="777" max="777" width="13.7109375" customWidth="1"/>
    <col min="1026" max="1026" width="14.28515625" customWidth="1"/>
    <col min="1029" max="1029" width="64" customWidth="1"/>
    <col min="1030" max="1032" width="14.7109375" customWidth="1"/>
    <col min="1033" max="1033" width="13.7109375" customWidth="1"/>
    <col min="1282" max="1282" width="14.28515625" customWidth="1"/>
    <col min="1285" max="1285" width="64" customWidth="1"/>
    <col min="1286" max="1288" width="14.7109375" customWidth="1"/>
    <col min="1289" max="1289" width="13.7109375" customWidth="1"/>
    <col min="1538" max="1538" width="14.28515625" customWidth="1"/>
    <col min="1541" max="1541" width="64" customWidth="1"/>
    <col min="1542" max="1544" width="14.7109375" customWidth="1"/>
    <col min="1545" max="1545" width="13.7109375" customWidth="1"/>
    <col min="1794" max="1794" width="14.28515625" customWidth="1"/>
    <col min="1797" max="1797" width="64" customWidth="1"/>
    <col min="1798" max="1800" width="14.7109375" customWidth="1"/>
    <col min="1801" max="1801" width="13.7109375" customWidth="1"/>
    <col min="2050" max="2050" width="14.28515625" customWidth="1"/>
    <col min="2053" max="2053" width="64" customWidth="1"/>
    <col min="2054" max="2056" width="14.7109375" customWidth="1"/>
    <col min="2057" max="2057" width="13.7109375" customWidth="1"/>
    <col min="2306" max="2306" width="14.28515625" customWidth="1"/>
    <col min="2309" max="2309" width="64" customWidth="1"/>
    <col min="2310" max="2312" width="14.7109375" customWidth="1"/>
    <col min="2313" max="2313" width="13.7109375" customWidth="1"/>
    <col min="2562" max="2562" width="14.28515625" customWidth="1"/>
    <col min="2565" max="2565" width="64" customWidth="1"/>
    <col min="2566" max="2568" width="14.7109375" customWidth="1"/>
    <col min="2569" max="2569" width="13.7109375" customWidth="1"/>
    <col min="2818" max="2818" width="14.28515625" customWidth="1"/>
    <col min="2821" max="2821" width="64" customWidth="1"/>
    <col min="2822" max="2824" width="14.7109375" customWidth="1"/>
    <col min="2825" max="2825" width="13.7109375" customWidth="1"/>
    <col min="3074" max="3074" width="14.28515625" customWidth="1"/>
    <col min="3077" max="3077" width="64" customWidth="1"/>
    <col min="3078" max="3080" width="14.7109375" customWidth="1"/>
    <col min="3081" max="3081" width="13.7109375" customWidth="1"/>
    <col min="3330" max="3330" width="14.28515625" customWidth="1"/>
    <col min="3333" max="3333" width="64" customWidth="1"/>
    <col min="3334" max="3336" width="14.7109375" customWidth="1"/>
    <col min="3337" max="3337" width="13.7109375" customWidth="1"/>
    <col min="3586" max="3586" width="14.28515625" customWidth="1"/>
    <col min="3589" max="3589" width="64" customWidth="1"/>
    <col min="3590" max="3592" width="14.7109375" customWidth="1"/>
    <col min="3593" max="3593" width="13.7109375" customWidth="1"/>
    <col min="3842" max="3842" width="14.28515625" customWidth="1"/>
    <col min="3845" max="3845" width="64" customWidth="1"/>
    <col min="3846" max="3848" width="14.7109375" customWidth="1"/>
    <col min="3849" max="3849" width="13.7109375" customWidth="1"/>
    <col min="4098" max="4098" width="14.28515625" customWidth="1"/>
    <col min="4101" max="4101" width="64" customWidth="1"/>
    <col min="4102" max="4104" width="14.7109375" customWidth="1"/>
    <col min="4105" max="4105" width="13.7109375" customWidth="1"/>
    <col min="4354" max="4354" width="14.28515625" customWidth="1"/>
    <col min="4357" max="4357" width="64" customWidth="1"/>
    <col min="4358" max="4360" width="14.7109375" customWidth="1"/>
    <col min="4361" max="4361" width="13.7109375" customWidth="1"/>
    <col min="4610" max="4610" width="14.28515625" customWidth="1"/>
    <col min="4613" max="4613" width="64" customWidth="1"/>
    <col min="4614" max="4616" width="14.7109375" customWidth="1"/>
    <col min="4617" max="4617" width="13.7109375" customWidth="1"/>
    <col min="4866" max="4866" width="14.28515625" customWidth="1"/>
    <col min="4869" max="4869" width="64" customWidth="1"/>
    <col min="4870" max="4872" width="14.7109375" customWidth="1"/>
    <col min="4873" max="4873" width="13.7109375" customWidth="1"/>
    <col min="5122" max="5122" width="14.28515625" customWidth="1"/>
    <col min="5125" max="5125" width="64" customWidth="1"/>
    <col min="5126" max="5128" width="14.7109375" customWidth="1"/>
    <col min="5129" max="5129" width="13.7109375" customWidth="1"/>
    <col min="5378" max="5378" width="14.28515625" customWidth="1"/>
    <col min="5381" max="5381" width="64" customWidth="1"/>
    <col min="5382" max="5384" width="14.7109375" customWidth="1"/>
    <col min="5385" max="5385" width="13.7109375" customWidth="1"/>
    <col min="5634" max="5634" width="14.28515625" customWidth="1"/>
    <col min="5637" max="5637" width="64" customWidth="1"/>
    <col min="5638" max="5640" width="14.7109375" customWidth="1"/>
    <col min="5641" max="5641" width="13.7109375" customWidth="1"/>
    <col min="5890" max="5890" width="14.28515625" customWidth="1"/>
    <col min="5893" max="5893" width="64" customWidth="1"/>
    <col min="5894" max="5896" width="14.7109375" customWidth="1"/>
    <col min="5897" max="5897" width="13.7109375" customWidth="1"/>
    <col min="6146" max="6146" width="14.28515625" customWidth="1"/>
    <col min="6149" max="6149" width="64" customWidth="1"/>
    <col min="6150" max="6152" width="14.7109375" customWidth="1"/>
    <col min="6153" max="6153" width="13.7109375" customWidth="1"/>
    <col min="6402" max="6402" width="14.28515625" customWidth="1"/>
    <col min="6405" max="6405" width="64" customWidth="1"/>
    <col min="6406" max="6408" width="14.7109375" customWidth="1"/>
    <col min="6409" max="6409" width="13.7109375" customWidth="1"/>
    <col min="6658" max="6658" width="14.28515625" customWidth="1"/>
    <col min="6661" max="6661" width="64" customWidth="1"/>
    <col min="6662" max="6664" width="14.7109375" customWidth="1"/>
    <col min="6665" max="6665" width="13.7109375" customWidth="1"/>
    <col min="6914" max="6914" width="14.28515625" customWidth="1"/>
    <col min="6917" max="6917" width="64" customWidth="1"/>
    <col min="6918" max="6920" width="14.7109375" customWidth="1"/>
    <col min="6921" max="6921" width="13.7109375" customWidth="1"/>
    <col min="7170" max="7170" width="14.28515625" customWidth="1"/>
    <col min="7173" max="7173" width="64" customWidth="1"/>
    <col min="7174" max="7176" width="14.7109375" customWidth="1"/>
    <col min="7177" max="7177" width="13.7109375" customWidth="1"/>
    <col min="7426" max="7426" width="14.28515625" customWidth="1"/>
    <col min="7429" max="7429" width="64" customWidth="1"/>
    <col min="7430" max="7432" width="14.7109375" customWidth="1"/>
    <col min="7433" max="7433" width="13.7109375" customWidth="1"/>
    <col min="7682" max="7682" width="14.28515625" customWidth="1"/>
    <col min="7685" max="7685" width="64" customWidth="1"/>
    <col min="7686" max="7688" width="14.7109375" customWidth="1"/>
    <col min="7689" max="7689" width="13.7109375" customWidth="1"/>
    <col min="7938" max="7938" width="14.28515625" customWidth="1"/>
    <col min="7941" max="7941" width="64" customWidth="1"/>
    <col min="7942" max="7944" width="14.7109375" customWidth="1"/>
    <col min="7945" max="7945" width="13.7109375" customWidth="1"/>
    <col min="8194" max="8194" width="14.28515625" customWidth="1"/>
    <col min="8197" max="8197" width="64" customWidth="1"/>
    <col min="8198" max="8200" width="14.7109375" customWidth="1"/>
    <col min="8201" max="8201" width="13.7109375" customWidth="1"/>
    <col min="8450" max="8450" width="14.28515625" customWidth="1"/>
    <col min="8453" max="8453" width="64" customWidth="1"/>
    <col min="8454" max="8456" width="14.7109375" customWidth="1"/>
    <col min="8457" max="8457" width="13.7109375" customWidth="1"/>
    <col min="8706" max="8706" width="14.28515625" customWidth="1"/>
    <col min="8709" max="8709" width="64" customWidth="1"/>
    <col min="8710" max="8712" width="14.7109375" customWidth="1"/>
    <col min="8713" max="8713" width="13.7109375" customWidth="1"/>
    <col min="8962" max="8962" width="14.28515625" customWidth="1"/>
    <col min="8965" max="8965" width="64" customWidth="1"/>
    <col min="8966" max="8968" width="14.7109375" customWidth="1"/>
    <col min="8969" max="8969" width="13.7109375" customWidth="1"/>
    <col min="9218" max="9218" width="14.28515625" customWidth="1"/>
    <col min="9221" max="9221" width="64" customWidth="1"/>
    <col min="9222" max="9224" width="14.7109375" customWidth="1"/>
    <col min="9225" max="9225" width="13.7109375" customWidth="1"/>
    <col min="9474" max="9474" width="14.28515625" customWidth="1"/>
    <col min="9477" max="9477" width="64" customWidth="1"/>
    <col min="9478" max="9480" width="14.7109375" customWidth="1"/>
    <col min="9481" max="9481" width="13.7109375" customWidth="1"/>
    <col min="9730" max="9730" width="14.28515625" customWidth="1"/>
    <col min="9733" max="9733" width="64" customWidth="1"/>
    <col min="9734" max="9736" width="14.7109375" customWidth="1"/>
    <col min="9737" max="9737" width="13.7109375" customWidth="1"/>
    <col min="9986" max="9986" width="14.28515625" customWidth="1"/>
    <col min="9989" max="9989" width="64" customWidth="1"/>
    <col min="9990" max="9992" width="14.7109375" customWidth="1"/>
    <col min="9993" max="9993" width="13.7109375" customWidth="1"/>
    <col min="10242" max="10242" width="14.28515625" customWidth="1"/>
    <col min="10245" max="10245" width="64" customWidth="1"/>
    <col min="10246" max="10248" width="14.7109375" customWidth="1"/>
    <col min="10249" max="10249" width="13.7109375" customWidth="1"/>
    <col min="10498" max="10498" width="14.28515625" customWidth="1"/>
    <col min="10501" max="10501" width="64" customWidth="1"/>
    <col min="10502" max="10504" width="14.7109375" customWidth="1"/>
    <col min="10505" max="10505" width="13.7109375" customWidth="1"/>
    <col min="10754" max="10754" width="14.28515625" customWidth="1"/>
    <col min="10757" max="10757" width="64" customWidth="1"/>
    <col min="10758" max="10760" width="14.7109375" customWidth="1"/>
    <col min="10761" max="10761" width="13.7109375" customWidth="1"/>
    <col min="11010" max="11010" width="14.28515625" customWidth="1"/>
    <col min="11013" max="11013" width="64" customWidth="1"/>
    <col min="11014" max="11016" width="14.7109375" customWidth="1"/>
    <col min="11017" max="11017" width="13.7109375" customWidth="1"/>
    <col min="11266" max="11266" width="14.28515625" customWidth="1"/>
    <col min="11269" max="11269" width="64" customWidth="1"/>
    <col min="11270" max="11272" width="14.7109375" customWidth="1"/>
    <col min="11273" max="11273" width="13.7109375" customWidth="1"/>
    <col min="11522" max="11522" width="14.28515625" customWidth="1"/>
    <col min="11525" max="11525" width="64" customWidth="1"/>
    <col min="11526" max="11528" width="14.7109375" customWidth="1"/>
    <col min="11529" max="11529" width="13.7109375" customWidth="1"/>
    <col min="11778" max="11778" width="14.28515625" customWidth="1"/>
    <col min="11781" max="11781" width="64" customWidth="1"/>
    <col min="11782" max="11784" width="14.7109375" customWidth="1"/>
    <col min="11785" max="11785" width="13.7109375" customWidth="1"/>
    <col min="12034" max="12034" width="14.28515625" customWidth="1"/>
    <col min="12037" max="12037" width="64" customWidth="1"/>
    <col min="12038" max="12040" width="14.7109375" customWidth="1"/>
    <col min="12041" max="12041" width="13.7109375" customWidth="1"/>
    <col min="12290" max="12290" width="14.28515625" customWidth="1"/>
    <col min="12293" max="12293" width="64" customWidth="1"/>
    <col min="12294" max="12296" width="14.7109375" customWidth="1"/>
    <col min="12297" max="12297" width="13.7109375" customWidth="1"/>
    <col min="12546" max="12546" width="14.28515625" customWidth="1"/>
    <col min="12549" max="12549" width="64" customWidth="1"/>
    <col min="12550" max="12552" width="14.7109375" customWidth="1"/>
    <col min="12553" max="12553" width="13.7109375" customWidth="1"/>
    <col min="12802" max="12802" width="14.28515625" customWidth="1"/>
    <col min="12805" max="12805" width="64" customWidth="1"/>
    <col min="12806" max="12808" width="14.7109375" customWidth="1"/>
    <col min="12809" max="12809" width="13.7109375" customWidth="1"/>
    <col min="13058" max="13058" width="14.28515625" customWidth="1"/>
    <col min="13061" max="13061" width="64" customWidth="1"/>
    <col min="13062" max="13064" width="14.7109375" customWidth="1"/>
    <col min="13065" max="13065" width="13.7109375" customWidth="1"/>
    <col min="13314" max="13314" width="14.28515625" customWidth="1"/>
    <col min="13317" max="13317" width="64" customWidth="1"/>
    <col min="13318" max="13320" width="14.7109375" customWidth="1"/>
    <col min="13321" max="13321" width="13.7109375" customWidth="1"/>
    <col min="13570" max="13570" width="14.28515625" customWidth="1"/>
    <col min="13573" max="13573" width="64" customWidth="1"/>
    <col min="13574" max="13576" width="14.7109375" customWidth="1"/>
    <col min="13577" max="13577" width="13.7109375" customWidth="1"/>
    <col min="13826" max="13826" width="14.28515625" customWidth="1"/>
    <col min="13829" max="13829" width="64" customWidth="1"/>
    <col min="13830" max="13832" width="14.7109375" customWidth="1"/>
    <col min="13833" max="13833" width="13.7109375" customWidth="1"/>
    <col min="14082" max="14082" width="14.28515625" customWidth="1"/>
    <col min="14085" max="14085" width="64" customWidth="1"/>
    <col min="14086" max="14088" width="14.7109375" customWidth="1"/>
    <col min="14089" max="14089" width="13.7109375" customWidth="1"/>
    <col min="14338" max="14338" width="14.28515625" customWidth="1"/>
    <col min="14341" max="14341" width="64" customWidth="1"/>
    <col min="14342" max="14344" width="14.7109375" customWidth="1"/>
    <col min="14345" max="14345" width="13.7109375" customWidth="1"/>
    <col min="14594" max="14594" width="14.28515625" customWidth="1"/>
    <col min="14597" max="14597" width="64" customWidth="1"/>
    <col min="14598" max="14600" width="14.7109375" customWidth="1"/>
    <col min="14601" max="14601" width="13.7109375" customWidth="1"/>
    <col min="14850" max="14850" width="14.28515625" customWidth="1"/>
    <col min="14853" max="14853" width="64" customWidth="1"/>
    <col min="14854" max="14856" width="14.7109375" customWidth="1"/>
    <col min="14857" max="14857" width="13.7109375" customWidth="1"/>
    <col min="15106" max="15106" width="14.28515625" customWidth="1"/>
    <col min="15109" max="15109" width="64" customWidth="1"/>
    <col min="15110" max="15112" width="14.7109375" customWidth="1"/>
    <col min="15113" max="15113" width="13.7109375" customWidth="1"/>
    <col min="15362" max="15362" width="14.28515625" customWidth="1"/>
    <col min="15365" max="15365" width="64" customWidth="1"/>
    <col min="15366" max="15368" width="14.7109375" customWidth="1"/>
    <col min="15369" max="15369" width="13.7109375" customWidth="1"/>
    <col min="15618" max="15618" width="14.28515625" customWidth="1"/>
    <col min="15621" max="15621" width="64" customWidth="1"/>
    <col min="15622" max="15624" width="14.7109375" customWidth="1"/>
    <col min="15625" max="15625" width="13.7109375" customWidth="1"/>
    <col min="15874" max="15874" width="14.28515625" customWidth="1"/>
    <col min="15877" max="15877" width="64" customWidth="1"/>
    <col min="15878" max="15880" width="14.7109375" customWidth="1"/>
    <col min="15881" max="15881" width="13.7109375" customWidth="1"/>
    <col min="16130" max="16130" width="14.28515625" customWidth="1"/>
    <col min="16133" max="16133" width="64" customWidth="1"/>
    <col min="16134" max="16136" width="14.7109375" customWidth="1"/>
    <col min="16137" max="16137" width="13.7109375" customWidth="1"/>
  </cols>
  <sheetData>
    <row r="1" spans="1:11" ht="16.5">
      <c r="A1" s="46" t="s">
        <v>550</v>
      </c>
      <c r="B1" s="46"/>
      <c r="C1" s="15"/>
      <c r="D1" s="15"/>
      <c r="E1" s="15"/>
      <c r="F1" s="15"/>
      <c r="G1" s="12" t="s">
        <v>248</v>
      </c>
      <c r="I1" s="16"/>
    </row>
    <row r="2" spans="1:11" ht="16.5">
      <c r="A2" s="30" t="s">
        <v>115</v>
      </c>
      <c r="B2" s="30"/>
      <c r="C2" s="15"/>
      <c r="D2" s="15"/>
      <c r="E2" s="15"/>
      <c r="F2" s="15"/>
      <c r="G2" s="28" t="s">
        <v>88</v>
      </c>
      <c r="I2" s="16"/>
    </row>
    <row r="3" spans="1:11" ht="12.75" customHeight="1">
      <c r="B3" s="15"/>
      <c r="C3" s="15"/>
      <c r="D3" s="15"/>
      <c r="E3" s="15"/>
      <c r="F3" s="15"/>
      <c r="G3" s="29" t="s">
        <v>87</v>
      </c>
      <c r="I3" s="16"/>
    </row>
    <row r="4" spans="1:11" ht="18.75" customHeight="1">
      <c r="B4" s="174" t="s">
        <v>69</v>
      </c>
      <c r="C4" s="174"/>
      <c r="D4" s="174"/>
      <c r="E4" s="174"/>
      <c r="F4" s="174"/>
      <c r="G4" s="174"/>
      <c r="H4" s="174"/>
      <c r="I4" s="174"/>
      <c r="J4" s="137">
        <v>1452000</v>
      </c>
    </row>
    <row r="5" spans="1:11" ht="13.5" customHeight="1">
      <c r="B5" s="226" t="s">
        <v>391</v>
      </c>
      <c r="C5" s="226"/>
      <c r="D5" s="226"/>
      <c r="E5" s="226"/>
      <c r="F5" s="226"/>
      <c r="G5" s="226"/>
      <c r="H5" s="226"/>
      <c r="I5" s="226"/>
    </row>
    <row r="6" spans="1:11" ht="8.25" customHeight="1">
      <c r="B6" s="16"/>
      <c r="C6" s="16"/>
      <c r="D6" s="16"/>
      <c r="E6" s="16"/>
      <c r="F6" s="16"/>
      <c r="G6" s="16"/>
      <c r="H6" s="16"/>
      <c r="I6" s="16"/>
      <c r="J6" s="16"/>
    </row>
    <row r="7" spans="1:11" ht="16.5">
      <c r="A7" s="227" t="s">
        <v>95</v>
      </c>
      <c r="B7" s="227" t="s">
        <v>250</v>
      </c>
      <c r="C7" s="196" t="s">
        <v>82</v>
      </c>
      <c r="D7" s="198"/>
      <c r="E7" s="181" t="s">
        <v>70</v>
      </c>
      <c r="F7" s="181" t="s">
        <v>71</v>
      </c>
      <c r="G7" s="181"/>
      <c r="H7" s="181"/>
      <c r="I7" s="181" t="s">
        <v>92</v>
      </c>
      <c r="J7" s="16"/>
    </row>
    <row r="8" spans="1:11" ht="16.5">
      <c r="A8" s="227"/>
      <c r="B8" s="227"/>
      <c r="C8" s="18" t="s">
        <v>73</v>
      </c>
      <c r="D8" s="18" t="s">
        <v>74</v>
      </c>
      <c r="E8" s="181"/>
      <c r="F8" s="18" t="s">
        <v>73</v>
      </c>
      <c r="G8" s="18" t="s">
        <v>74</v>
      </c>
      <c r="H8" s="18" t="s">
        <v>75</v>
      </c>
      <c r="I8" s="181"/>
      <c r="J8" s="16"/>
    </row>
    <row r="9" spans="1:11" ht="11.25" customHeight="1">
      <c r="A9" s="18" t="s">
        <v>83</v>
      </c>
      <c r="B9" s="18" t="s">
        <v>84</v>
      </c>
      <c r="C9" s="18" t="s">
        <v>85</v>
      </c>
      <c r="D9" s="18" t="s">
        <v>99</v>
      </c>
      <c r="E9" s="18" t="s">
        <v>86</v>
      </c>
      <c r="F9" s="18">
        <v>1</v>
      </c>
      <c r="G9" s="18">
        <v>2</v>
      </c>
      <c r="H9" s="18">
        <v>3</v>
      </c>
      <c r="I9" s="18" t="s">
        <v>93</v>
      </c>
      <c r="J9" s="16"/>
    </row>
    <row r="10" spans="1:11" ht="16.5">
      <c r="A10" s="2"/>
      <c r="B10" s="20"/>
      <c r="C10" s="20"/>
      <c r="D10" s="20"/>
      <c r="E10" s="18" t="s">
        <v>94</v>
      </c>
      <c r="F10" s="20"/>
      <c r="G10" s="20"/>
      <c r="H10" s="19">
        <v>2309760</v>
      </c>
      <c r="I10" s="17"/>
    </row>
    <row r="11" spans="1:11" ht="20.25" customHeight="1">
      <c r="A11" s="55">
        <v>45659</v>
      </c>
      <c r="B11" s="55">
        <v>45659</v>
      </c>
      <c r="C11" s="153" t="str">
        <f>IF(AND(LEFT(E11,3)&lt;&gt;"Chi",E11&lt;&gt;""),"PT2025/"&amp;TEXT(COUNTIF($E11:E$11,"&lt;&gt;Chi*"),"00"),"")</f>
        <v/>
      </c>
      <c r="D11" s="56" t="str">
        <f>IF(AND(LEFT(E11,3)="Chi",E11&lt;&gt;""),"PC2025/"&amp;TEXT(COUNTIF($E11:E$11,"Chi*"),"00"),"")</f>
        <v>PC2025/01</v>
      </c>
      <c r="E11" s="57" t="s">
        <v>430</v>
      </c>
      <c r="F11" s="117"/>
      <c r="G11" s="118">
        <v>300000</v>
      </c>
      <c r="H11" s="118">
        <f>+H10+F11-G11</f>
        <v>2009760</v>
      </c>
      <c r="I11" s="17"/>
      <c r="J11" t="s">
        <v>415</v>
      </c>
    </row>
    <row r="12" spans="1:11" ht="20.25" customHeight="1">
      <c r="A12" s="55">
        <v>45659</v>
      </c>
      <c r="B12" s="55">
        <v>45659</v>
      </c>
      <c r="C12" s="153" t="str">
        <f>IF(AND(LEFT(E12,3)&lt;&gt;"Chi",E12&lt;&gt;""),"PT2025/"&amp;TEXT(COUNTIF($E$11:E12,"&lt;&gt;Chi*"),"00"),"")</f>
        <v/>
      </c>
      <c r="D12" s="56" t="str">
        <f>IF(AND(LEFT(E12,3)="Chi",E12&lt;&gt;""),"PC2025/"&amp;TEXT(COUNTIF($E$11:E12,"Chi*"),"00"),"")</f>
        <v>PC2025/02</v>
      </c>
      <c r="E12" s="57" t="s">
        <v>392</v>
      </c>
      <c r="F12" s="117"/>
      <c r="G12" s="118">
        <v>300000</v>
      </c>
      <c r="H12" s="118">
        <f t="shared" ref="H12:H75" si="0">+H11+F12-G12</f>
        <v>1709760</v>
      </c>
      <c r="I12" s="17"/>
    </row>
    <row r="13" spans="1:11" ht="20.25" customHeight="1">
      <c r="A13" s="55">
        <v>45672</v>
      </c>
      <c r="B13" s="55">
        <v>45672</v>
      </c>
      <c r="C13" s="153" t="str">
        <f>IF(AND(LEFT(E13,3)&lt;&gt;"Chi",E13&lt;&gt;""),"PT2025/"&amp;TEXT(COUNTIF($E$11:E13,"&lt;&gt;Chi*"),"00"),"")</f>
        <v/>
      </c>
      <c r="D13" s="56" t="str">
        <f>IF(AND(LEFT(E13,3)="Chi",E13&lt;&gt;""),"PC2025/"&amp;TEXT(COUNTIF($E$11:E13,"Chi*"),"00"),"")</f>
        <v>PC2025/03</v>
      </c>
      <c r="E13" s="57" t="s">
        <v>393</v>
      </c>
      <c r="F13" s="117"/>
      <c r="G13" s="118">
        <v>300000</v>
      </c>
      <c r="H13" s="147">
        <f t="shared" si="0"/>
        <v>1409760</v>
      </c>
      <c r="I13" s="17"/>
      <c r="K13" t="s">
        <v>428</v>
      </c>
    </row>
    <row r="14" spans="1:11" ht="20.25" customHeight="1">
      <c r="A14" s="55">
        <v>45691</v>
      </c>
      <c r="B14" s="55">
        <v>45691</v>
      </c>
      <c r="C14" s="153" t="str">
        <f>IF(AND(LEFT(E14,3)&lt;&gt;"Chi",E14&lt;&gt;""),"PT2025/"&amp;TEXT(COUNTIF($E$11:E14,"&lt;&gt;Chi*"),"00"),"")</f>
        <v/>
      </c>
      <c r="D14" s="56" t="str">
        <f>IF(AND(LEFT(E14,3)="Chi",E14&lt;&gt;""),"PC2025/"&amp;TEXT(COUNTIF($E$11:E14,"Chi*"),"00"),"")</f>
        <v>PC2025/04</v>
      </c>
      <c r="E14" s="57" t="s">
        <v>431</v>
      </c>
      <c r="F14" s="117"/>
      <c r="G14" s="118">
        <v>300000</v>
      </c>
      <c r="H14" s="118">
        <f t="shared" si="0"/>
        <v>1109760</v>
      </c>
      <c r="I14" s="17"/>
      <c r="J14" t="s">
        <v>415</v>
      </c>
    </row>
    <row r="15" spans="1:11" ht="20.25" customHeight="1">
      <c r="A15" s="55">
        <v>45691</v>
      </c>
      <c r="B15" s="55">
        <v>45691</v>
      </c>
      <c r="C15" s="153" t="str">
        <f>IF(AND(LEFT(E15,3)&lt;&gt;"Chi",E15&lt;&gt;""),"PT2025/"&amp;TEXT(COUNTIF($E$11:E15,"&lt;&gt;Chi*"),"00"),"")</f>
        <v/>
      </c>
      <c r="D15" s="56" t="str">
        <f>IF(AND(LEFT(E15,3)="Chi",E15&lt;&gt;""),"PC2025/"&amp;TEXT(COUNTIF($E$11:E15,"Chi*"),"00"),"")</f>
        <v>PC2025/05</v>
      </c>
      <c r="E15" s="57" t="s">
        <v>432</v>
      </c>
      <c r="F15" s="118"/>
      <c r="G15" s="118">
        <v>300000</v>
      </c>
      <c r="H15" s="118">
        <f t="shared" si="0"/>
        <v>809760</v>
      </c>
      <c r="I15" s="17"/>
      <c r="J15" t="s">
        <v>415</v>
      </c>
    </row>
    <row r="16" spans="1:11" ht="20.25" customHeight="1">
      <c r="A16" s="55">
        <v>45691</v>
      </c>
      <c r="B16" s="55">
        <v>45691</v>
      </c>
      <c r="C16" s="153" t="str">
        <f>IF(AND(LEFT(E16,3)&lt;&gt;"Chi",E16&lt;&gt;""),"PT2025/"&amp;TEXT(COUNTIF($E$11:E16,"&lt;&gt;Chi*"),"00"),"")</f>
        <v/>
      </c>
      <c r="D16" s="56" t="str">
        <f>IF(AND(LEFT(E16,3)="Chi",E16&lt;&gt;""),"PC2025/"&amp;TEXT(COUNTIF($E$11:E16,"Chi*"),"00"),"")</f>
        <v>PC2025/06</v>
      </c>
      <c r="E16" s="57" t="s">
        <v>433</v>
      </c>
      <c r="F16" s="118"/>
      <c r="G16" s="118">
        <v>300000</v>
      </c>
      <c r="H16" s="118">
        <f t="shared" si="0"/>
        <v>509760</v>
      </c>
      <c r="I16" s="17"/>
      <c r="J16" t="s">
        <v>415</v>
      </c>
    </row>
    <row r="17" spans="1:11" ht="20.25" customHeight="1">
      <c r="A17" s="55">
        <v>45691</v>
      </c>
      <c r="B17" s="55">
        <v>45691</v>
      </c>
      <c r="C17" s="153" t="str">
        <f>IF(AND(LEFT(E17,3)&lt;&gt;"Chi",E17&lt;&gt;""),"PT2025/"&amp;TEXT(COUNTIF($E$11:E17,"&lt;&gt;Chi*"),"00"),"")</f>
        <v>PT2025/01</v>
      </c>
      <c r="D17" s="56" t="str">
        <f>IF(AND(LEFT(E17,3)="Chi",E17&lt;&gt;""),"PC2025/"&amp;TEXT(COUNTIF($E$11:E17,"Chi*"),"00"),"")</f>
        <v/>
      </c>
      <c r="E17" s="57" t="s">
        <v>394</v>
      </c>
      <c r="F17" s="147">
        <v>7979700</v>
      </c>
      <c r="G17" s="118"/>
      <c r="H17" s="118">
        <f t="shared" si="0"/>
        <v>8489460</v>
      </c>
      <c r="I17" s="17"/>
      <c r="J17" t="s">
        <v>415</v>
      </c>
    </row>
    <row r="18" spans="1:11" ht="20.25" customHeight="1">
      <c r="A18" s="55">
        <v>45691</v>
      </c>
      <c r="B18" s="55">
        <v>45691</v>
      </c>
      <c r="C18" s="153" t="str">
        <f>IF(AND(LEFT(E18,3)&lt;&gt;"Chi",E18&lt;&gt;""),"PT2025/"&amp;TEXT(COUNTIF($E$11:E18,"&lt;&gt;Chi*"),"00"),"")</f>
        <v>PT2025/02</v>
      </c>
      <c r="D18" s="56" t="str">
        <f>IF(AND(LEFT(E18,3)="Chi",E18&lt;&gt;""),"PC2025/"&amp;TEXT(COUNTIF($E$11:E18,"Chi*"),"00"),"")</f>
        <v/>
      </c>
      <c r="E18" s="57" t="s">
        <v>222</v>
      </c>
      <c r="F18" s="118">
        <v>8000000</v>
      </c>
      <c r="G18" s="118"/>
      <c r="H18" s="118">
        <f t="shared" si="0"/>
        <v>16489460</v>
      </c>
      <c r="I18" s="17"/>
    </row>
    <row r="19" spans="1:11" ht="20.25" customHeight="1">
      <c r="A19" s="55">
        <v>45691</v>
      </c>
      <c r="B19" s="55">
        <v>45691</v>
      </c>
      <c r="C19" s="153" t="str">
        <f>IF(AND(LEFT(E19,3)&lt;&gt;"Chi",E19&lt;&gt;""),"PT2025/"&amp;TEXT(COUNTIF($E$11:E19,"&lt;&gt;Chi*"),"00"),"")</f>
        <v/>
      </c>
      <c r="D19" s="56" t="str">
        <f>IF(AND(LEFT(E19,3)="Chi",E19&lt;&gt;""),"PC2025/"&amp;TEXT(COUNTIF($E$11:E19,"Chi*"),"00"),"")</f>
        <v>PC2025/07</v>
      </c>
      <c r="E19" s="57" t="s">
        <v>396</v>
      </c>
      <c r="F19" s="118"/>
      <c r="G19" s="118">
        <f>300000*50</f>
        <v>15000000</v>
      </c>
      <c r="H19" s="118">
        <f t="shared" si="0"/>
        <v>1489460</v>
      </c>
      <c r="I19" s="17"/>
    </row>
    <row r="20" spans="1:11" ht="20.25" customHeight="1">
      <c r="A20" s="55">
        <v>45693</v>
      </c>
      <c r="B20" s="55">
        <v>45693</v>
      </c>
      <c r="C20" s="153" t="str">
        <f>IF(AND(LEFT(E20,3)&lt;&gt;"Chi",E20&lt;&gt;""),"PT2025/"&amp;TEXT(COUNTIF($E$11:E20,"&lt;&gt;Chi*"),"00"),"")</f>
        <v/>
      </c>
      <c r="D20" s="56" t="str">
        <f>IF(AND(LEFT(E20,3)="Chi",E20&lt;&gt;""),"PC2025/"&amp;TEXT(COUNTIF($E$11:E20,"Chi*"),"00"),"")</f>
        <v>PC2025/08</v>
      </c>
      <c r="E20" s="57" t="s">
        <v>402</v>
      </c>
      <c r="F20" s="118"/>
      <c r="G20" s="118">
        <v>300000</v>
      </c>
      <c r="H20" s="118">
        <f t="shared" si="0"/>
        <v>1189460</v>
      </c>
      <c r="I20" s="17"/>
    </row>
    <row r="21" spans="1:11" ht="20.25" customHeight="1">
      <c r="A21" s="55">
        <v>45700</v>
      </c>
      <c r="B21" s="55">
        <v>45700</v>
      </c>
      <c r="C21" s="153" t="str">
        <f>IF(AND(LEFT(E21,3)&lt;&gt;"Chi",E21&lt;&gt;""),"PT2025/"&amp;TEXT(COUNTIF($E$11:E21,"&lt;&gt;Chi*"),"00"),"")</f>
        <v/>
      </c>
      <c r="D21" s="56" t="str">
        <f>IF(AND(LEFT(E21,3)="Chi",E21&lt;&gt;""),"PC2025/"&amp;TEXT(COUNTIF($E$11:E21,"Chi*"),"00"),"")</f>
        <v>PC2025/09</v>
      </c>
      <c r="E21" s="57" t="s">
        <v>400</v>
      </c>
      <c r="F21" s="118"/>
      <c r="G21" s="118">
        <v>300000</v>
      </c>
      <c r="H21" s="118">
        <f t="shared" si="0"/>
        <v>889460</v>
      </c>
      <c r="I21" s="17"/>
    </row>
    <row r="22" spans="1:11" ht="20.25" customHeight="1">
      <c r="A22" s="55">
        <v>45708</v>
      </c>
      <c r="B22" s="55">
        <v>45708</v>
      </c>
      <c r="C22" s="153" t="str">
        <f>IF(AND(LEFT(E22,3)&lt;&gt;"Chi",E22&lt;&gt;""),"PT2025/"&amp;TEXT(COUNTIF($E$11:E22,"&lt;&gt;Chi*"),"00"),"")</f>
        <v/>
      </c>
      <c r="D22" s="56" t="str">
        <f>IF(AND(LEFT(E22,3)="Chi",E22&lt;&gt;""),"PC2025/"&amp;TEXT(COUNTIF($E$11:E22,"Chi*"),"00"),"")</f>
        <v>PC2025/10</v>
      </c>
      <c r="E22" s="57" t="s">
        <v>401</v>
      </c>
      <c r="F22" s="118"/>
      <c r="G22" s="118">
        <v>300000</v>
      </c>
      <c r="H22" s="118">
        <f t="shared" si="0"/>
        <v>589460</v>
      </c>
      <c r="I22" s="17"/>
    </row>
    <row r="23" spans="1:11" ht="20.25" customHeight="1">
      <c r="A23" s="55">
        <v>45710</v>
      </c>
      <c r="B23" s="55">
        <v>45710</v>
      </c>
      <c r="C23" s="153" t="str">
        <f>IF(AND(LEFT(E23,3)&lt;&gt;"Chi",E23&lt;&gt;""),"PT2025/"&amp;TEXT(COUNTIF($E$11:E23,"&lt;&gt;Chi*"),"00"),"")</f>
        <v/>
      </c>
      <c r="D23" s="56" t="str">
        <f>IF(AND(LEFT(E23,3)="Chi",E23&lt;&gt;""),"PC2025/"&amp;TEXT(COUNTIF($E$11:E23,"Chi*"),"00"),"")</f>
        <v>PC2025/11</v>
      </c>
      <c r="E23" s="57" t="s">
        <v>403</v>
      </c>
      <c r="F23" s="119"/>
      <c r="G23" s="118">
        <v>300000</v>
      </c>
      <c r="H23" s="147">
        <f t="shared" si="0"/>
        <v>289460</v>
      </c>
      <c r="I23" s="17"/>
      <c r="K23" t="s">
        <v>428</v>
      </c>
    </row>
    <row r="24" spans="1:11" ht="20.25" customHeight="1">
      <c r="A24" s="55">
        <v>45727</v>
      </c>
      <c r="B24" s="55">
        <v>45727</v>
      </c>
      <c r="C24" s="153" t="str">
        <f>IF(AND(LEFT(E24,3)&lt;&gt;"Chi",E24&lt;&gt;""),"PT2025/"&amp;TEXT(COUNTIF($E$11:E24,"&lt;&gt;Chi*"),"00"),"")</f>
        <v>PT2025/03</v>
      </c>
      <c r="D24" s="56" t="str">
        <f>IF(AND(LEFT(E24,3)="Chi",E24&lt;&gt;""),"PC2025/"&amp;TEXT(COUNTIF($E$11:E24,"Chi*"),"00"),"")</f>
        <v/>
      </c>
      <c r="E24" s="57" t="s">
        <v>222</v>
      </c>
      <c r="F24" s="120">
        <v>6000000</v>
      </c>
      <c r="G24" s="120"/>
      <c r="H24" s="118">
        <f t="shared" si="0"/>
        <v>6289460</v>
      </c>
      <c r="I24" s="17"/>
    </row>
    <row r="25" spans="1:11" ht="20.25" customHeight="1">
      <c r="A25" s="55">
        <v>45727</v>
      </c>
      <c r="B25" s="55">
        <v>45727</v>
      </c>
      <c r="C25" s="153" t="str">
        <f>IF(AND(LEFT(E25,3)&lt;&gt;"Chi",E25&lt;&gt;""),"PT2025/"&amp;TEXT(COUNTIF($E$11:E25,"&lt;&gt;Chi*"),"00"),"")</f>
        <v/>
      </c>
      <c r="D25" s="56" t="str">
        <f>IF(AND(LEFT(E25,3)="Chi",E25&lt;&gt;""),"PC2025/"&amp;TEXT(COUNTIF($E$11:E25,"Chi*"),"00"),"")</f>
        <v>PC2025/12</v>
      </c>
      <c r="E25" s="57" t="s">
        <v>429</v>
      </c>
      <c r="F25" s="118"/>
      <c r="G25" s="118">
        <v>300000</v>
      </c>
      <c r="H25" s="118">
        <f t="shared" si="0"/>
        <v>5989460</v>
      </c>
      <c r="I25" s="17"/>
      <c r="J25" t="s">
        <v>415</v>
      </c>
    </row>
    <row r="26" spans="1:11" ht="20.25" customHeight="1">
      <c r="A26" s="55">
        <v>45727</v>
      </c>
      <c r="B26" s="55">
        <v>45727</v>
      </c>
      <c r="C26" s="153" t="str">
        <f>IF(AND(LEFT(E26,3)&lt;&gt;"Chi",E26&lt;&gt;""),"PT2025/"&amp;TEXT(COUNTIF($E$11:E26,"&lt;&gt;Chi*"),"00"),"")</f>
        <v/>
      </c>
      <c r="D26" s="56" t="str">
        <f>IF(AND(LEFT(E26,3)="Chi",E26&lt;&gt;""),"PC2025/"&amp;TEXT(COUNTIF($E$11:E26,"Chi*"),"00"),"")</f>
        <v>PC2025/13</v>
      </c>
      <c r="E26" s="57" t="s">
        <v>406</v>
      </c>
      <c r="F26" s="120"/>
      <c r="G26" s="120">
        <v>3600000</v>
      </c>
      <c r="H26" s="118">
        <f t="shared" si="0"/>
        <v>2389460</v>
      </c>
      <c r="I26" s="17"/>
      <c r="J26" s="95"/>
    </row>
    <row r="27" spans="1:11" ht="20.25" customHeight="1">
      <c r="A27" s="55">
        <v>45734</v>
      </c>
      <c r="B27" s="55">
        <v>45734</v>
      </c>
      <c r="C27" s="153" t="str">
        <f>IF(AND(LEFT(E27,3)&lt;&gt;"Chi",E27&lt;&gt;""),"PT2025/"&amp;TEXT(COUNTIF($E$11:E27,"&lt;&gt;Chi*"),"00"),"")</f>
        <v/>
      </c>
      <c r="D27" s="56" t="str">
        <f>IF(AND(LEFT(E27,3)="Chi",E27&lt;&gt;""),"PC2025/"&amp;TEXT(COUNTIF($E$11:E27,"Chi*"),"00"),"")</f>
        <v>PC2025/14</v>
      </c>
      <c r="E27" s="57" t="s">
        <v>477</v>
      </c>
      <c r="F27" s="120"/>
      <c r="G27" s="120">
        <v>800000</v>
      </c>
      <c r="H27" s="118">
        <f t="shared" si="0"/>
        <v>1589460</v>
      </c>
      <c r="I27" s="17"/>
      <c r="J27" t="s">
        <v>415</v>
      </c>
    </row>
    <row r="28" spans="1:11" ht="20.25" customHeight="1">
      <c r="A28" s="55">
        <v>45735</v>
      </c>
      <c r="B28" s="55">
        <v>45735</v>
      </c>
      <c r="C28" s="153" t="str">
        <f>IF(AND(LEFT(E28,3)&lt;&gt;"Chi",E28&lt;&gt;""),"PT2025/"&amp;TEXT(COUNTIF($E$11:E28,"&lt;&gt;Chi*"),"00"),"")</f>
        <v/>
      </c>
      <c r="D28" s="56" t="str">
        <f>IF(AND(LEFT(E28,3)="Chi",E28&lt;&gt;""),"PC2025/"&amp;TEXT(COUNTIF($E$11:E28,"Chi*"),"00"),"")</f>
        <v>PC2025/15</v>
      </c>
      <c r="E28" s="57" t="s">
        <v>404</v>
      </c>
      <c r="F28" s="120"/>
      <c r="G28" s="120">
        <v>300000</v>
      </c>
      <c r="H28" s="118">
        <f t="shared" si="0"/>
        <v>1289460</v>
      </c>
      <c r="I28" s="17"/>
      <c r="J28" t="s">
        <v>415</v>
      </c>
    </row>
    <row r="29" spans="1:11" ht="20.25" customHeight="1">
      <c r="A29" s="55">
        <v>45738</v>
      </c>
      <c r="B29" s="55">
        <v>45738</v>
      </c>
      <c r="C29" s="153" t="str">
        <f>IF(AND(LEFT(E29,3)&lt;&gt;"Chi",E29&lt;&gt;""),"PT2025/"&amp;TEXT(COUNTIF($E$11:E29,"&lt;&gt;Chi*"),"00"),"")</f>
        <v/>
      </c>
      <c r="D29" s="56" t="str">
        <f>IF(AND(LEFT(E29,3)="Chi",E29&lt;&gt;""),"PC2025/"&amp;TEXT(COUNTIF($E$11:E29,"Chi*"),"00"),"")</f>
        <v>PC2025/16</v>
      </c>
      <c r="E29" s="57" t="s">
        <v>405</v>
      </c>
      <c r="F29" s="120"/>
      <c r="G29" s="120">
        <v>300000</v>
      </c>
      <c r="H29" s="147">
        <f t="shared" si="0"/>
        <v>989460</v>
      </c>
      <c r="I29" s="17"/>
      <c r="J29" s="95"/>
      <c r="K29" t="s">
        <v>428</v>
      </c>
    </row>
    <row r="30" spans="1:11" ht="20.25" customHeight="1">
      <c r="A30" s="55">
        <v>45748</v>
      </c>
      <c r="B30" s="55">
        <v>45748</v>
      </c>
      <c r="C30" s="153" t="str">
        <f>IF(AND(LEFT(E30,3)&lt;&gt;"Chi",E30&lt;&gt;""),"PT2025/"&amp;TEXT(COUNTIF($E$11:E30,"&lt;&gt;Chi*"),"00"),"")</f>
        <v>PT2025/04</v>
      </c>
      <c r="D30" s="56" t="str">
        <f>IF(AND(LEFT(E30,3)="Chi",E30&lt;&gt;""),"PC2025/"&amp;TEXT(COUNTIF($E$11:E30,"Chi*"),"00"),"")</f>
        <v/>
      </c>
      <c r="E30" s="57" t="s">
        <v>425</v>
      </c>
      <c r="F30" s="147">
        <v>7767300</v>
      </c>
      <c r="G30" s="118"/>
      <c r="H30" s="118">
        <f t="shared" si="0"/>
        <v>8756760</v>
      </c>
      <c r="I30" s="17"/>
    </row>
    <row r="31" spans="1:11" ht="20.25" customHeight="1">
      <c r="A31" s="55">
        <v>45749</v>
      </c>
      <c r="B31" s="55">
        <v>45749</v>
      </c>
      <c r="C31" s="153" t="str">
        <f>IF(AND(LEFT(E31,3)&lt;&gt;"Chi",E31&lt;&gt;""),"PT2025/"&amp;TEXT(COUNTIF($E$11:E31,"&lt;&gt;Chi*"),"00"),"")</f>
        <v/>
      </c>
      <c r="D31" s="56" t="str">
        <f>IF(AND(LEFT(E31,3)="Chi",E31&lt;&gt;""),"PC2025/"&amp;TEXT(COUNTIF($E$11:E31,"Chi*"),"00"),"")</f>
        <v>PC2025/17</v>
      </c>
      <c r="E31" s="57" t="s">
        <v>419</v>
      </c>
      <c r="F31" s="118"/>
      <c r="G31" s="120">
        <v>300000</v>
      </c>
      <c r="H31" s="118">
        <f t="shared" si="0"/>
        <v>8456760</v>
      </c>
      <c r="I31" s="17"/>
    </row>
    <row r="32" spans="1:11" ht="21" customHeight="1">
      <c r="A32" s="55">
        <v>45750</v>
      </c>
      <c r="B32" s="55">
        <v>45750</v>
      </c>
      <c r="C32" s="153" t="str">
        <f>IF(AND(LEFT(E32,3)&lt;&gt;"Chi",E32&lt;&gt;""),"PT2025/"&amp;TEXT(COUNTIF($E$11:E32,"&lt;&gt;Chi*"),"00"),"")</f>
        <v/>
      </c>
      <c r="D32" s="56" t="str">
        <f>IF(AND(LEFT(E32,3)="Chi",E32&lt;&gt;""),"PC2025/"&amp;TEXT(COUNTIF($E$11:E32,"Chi*"),"00"),"")</f>
        <v>PC2025/18</v>
      </c>
      <c r="E32" s="57" t="s">
        <v>420</v>
      </c>
      <c r="F32" s="118"/>
      <c r="G32" s="120">
        <v>300000</v>
      </c>
      <c r="H32" s="118">
        <f t="shared" si="0"/>
        <v>8156760</v>
      </c>
      <c r="I32" s="17"/>
    </row>
    <row r="33" spans="1:11" ht="21" customHeight="1">
      <c r="A33" s="55">
        <v>45756</v>
      </c>
      <c r="B33" s="55">
        <v>45756</v>
      </c>
      <c r="C33" s="153" t="str">
        <f>IF(AND(LEFT(E33,3)&lt;&gt;"Chi",E33&lt;&gt;""),"PT2025/"&amp;TEXT(COUNTIF($E$11:E33,"&lt;&gt;Chi*"),"00"),"")</f>
        <v/>
      </c>
      <c r="D33" s="56" t="str">
        <f>IF(AND(LEFT(E33,3)="Chi",E33&lt;&gt;""),"PC2025/"&amp;TEXT(COUNTIF($E$11:E33,"Chi*"),"00"),"")</f>
        <v>PC2025/19</v>
      </c>
      <c r="E33" s="57" t="s">
        <v>421</v>
      </c>
      <c r="F33" s="120"/>
      <c r="G33" s="120">
        <v>300000</v>
      </c>
      <c r="H33" s="118">
        <f t="shared" si="0"/>
        <v>7856760</v>
      </c>
      <c r="I33" s="17"/>
    </row>
    <row r="34" spans="1:11" ht="21" customHeight="1">
      <c r="A34" s="55">
        <v>45763</v>
      </c>
      <c r="B34" s="55">
        <v>45763</v>
      </c>
      <c r="C34" s="153" t="str">
        <f>IF(AND(LEFT(E34,3)&lt;&gt;"Chi",E34&lt;&gt;""),"PT2025/"&amp;TEXT(COUNTIF($E$11:E34,"&lt;&gt;Chi*"),"00"),"")</f>
        <v/>
      </c>
      <c r="D34" s="56" t="str">
        <f>IF(AND(LEFT(E34,3)="Chi",E34&lt;&gt;""),"PC2025/"&amp;TEXT(COUNTIF($E$11:E34,"Chi*"),"00"),"")</f>
        <v>PC2025/20</v>
      </c>
      <c r="E34" s="57" t="s">
        <v>422</v>
      </c>
      <c r="F34" s="120"/>
      <c r="G34" s="120">
        <v>300000</v>
      </c>
      <c r="H34" s="118">
        <f t="shared" si="0"/>
        <v>7556760</v>
      </c>
      <c r="I34" s="17"/>
    </row>
    <row r="35" spans="1:11" ht="21" customHeight="1">
      <c r="A35" s="55">
        <v>45763</v>
      </c>
      <c r="B35" s="55">
        <v>45763</v>
      </c>
      <c r="C35" s="153" t="str">
        <f>IF(AND(LEFT(E35,3)&lt;&gt;"Chi",E35&lt;&gt;""),"PT2025/"&amp;TEXT(COUNTIF($E$11:E35,"&lt;&gt;Chi*"),"00"),"")</f>
        <v/>
      </c>
      <c r="D35" s="56" t="str">
        <f>IF(AND(LEFT(E35,3)="Chi",E35&lt;&gt;""),"PC2025/"&amp;TEXT(COUNTIF($E$11:E35,"Chi*"),"00"),"")</f>
        <v>PC2025/21</v>
      </c>
      <c r="E35" s="57" t="s">
        <v>423</v>
      </c>
      <c r="F35" s="120"/>
      <c r="G35" s="120">
        <v>300000</v>
      </c>
      <c r="H35" s="118">
        <f t="shared" si="0"/>
        <v>7256760</v>
      </c>
      <c r="I35" s="17"/>
    </row>
    <row r="36" spans="1:11" ht="21" customHeight="1">
      <c r="A36" s="55">
        <v>45764</v>
      </c>
      <c r="B36" s="55">
        <v>45764</v>
      </c>
      <c r="C36" s="153" t="str">
        <f>IF(AND(LEFT(E36,3)&lt;&gt;"Chi",E36&lt;&gt;""),"PT2025/"&amp;TEXT(COUNTIF($E$11:E36,"&lt;&gt;Chi*"),"00"),"")</f>
        <v/>
      </c>
      <c r="D36" s="56" t="str">
        <f>IF(AND(LEFT(E36,3)="Chi",E36&lt;&gt;""),"PC2025/"&amp;TEXT(COUNTIF($E$11:E36,"Chi*"),"00"),"")</f>
        <v>PC2025/22</v>
      </c>
      <c r="E36" s="57" t="s">
        <v>424</v>
      </c>
      <c r="F36" s="120"/>
      <c r="G36" s="120">
        <v>300000</v>
      </c>
      <c r="H36" s="118">
        <f t="shared" si="0"/>
        <v>6956760</v>
      </c>
      <c r="I36" s="17"/>
    </row>
    <row r="37" spans="1:11" ht="20.25" customHeight="1">
      <c r="A37" s="55">
        <v>45776</v>
      </c>
      <c r="B37" s="55">
        <v>45776</v>
      </c>
      <c r="C37" s="153" t="str">
        <f>IF(AND(LEFT(E37,3)&lt;&gt;"Chi",E37&lt;&gt;""),"PT2025/"&amp;TEXT(COUNTIF($E$11:E37,"&lt;&gt;Chi*"),"00"),"")</f>
        <v>PT2025/05</v>
      </c>
      <c r="D37" s="56" t="str">
        <f>IF(AND(LEFT(E37,3)="Chi",E37&lt;&gt;""),"PC2025/"&amp;TEXT(COUNTIF($E$11:E37,"Chi*"),"00"),"")</f>
        <v/>
      </c>
      <c r="E37" s="57" t="s">
        <v>222</v>
      </c>
      <c r="F37" s="147">
        <v>3700000</v>
      </c>
      <c r="G37" s="120"/>
      <c r="H37" s="118">
        <f t="shared" si="0"/>
        <v>10656760</v>
      </c>
      <c r="I37" s="17"/>
    </row>
    <row r="38" spans="1:11" ht="21" customHeight="1">
      <c r="A38" s="55">
        <v>45776</v>
      </c>
      <c r="B38" s="55">
        <v>45776</v>
      </c>
      <c r="C38" s="153" t="str">
        <f>IF(AND(LEFT(E38,3)&lt;&gt;"Chi",E38&lt;&gt;""),"PT2025/"&amp;TEXT(COUNTIF($E$11:E38,"&lt;&gt;Chi*"),"00"),"")</f>
        <v/>
      </c>
      <c r="D38" s="56" t="str">
        <f>IF(AND(LEFT(E38,3)="Chi",E38&lt;&gt;""),"PC2025/"&amp;TEXT(COUNTIF($E$11:E38,"Chi*"),"00"),"")</f>
        <v>PC2025/23</v>
      </c>
      <c r="E38" s="57" t="s">
        <v>427</v>
      </c>
      <c r="F38" s="120"/>
      <c r="G38" s="118">
        <v>9400000</v>
      </c>
      <c r="H38" s="147">
        <f t="shared" si="0"/>
        <v>1256760</v>
      </c>
      <c r="I38" s="17"/>
      <c r="K38" t="s">
        <v>428</v>
      </c>
    </row>
    <row r="39" spans="1:11" ht="21" customHeight="1">
      <c r="A39" s="55">
        <v>45779</v>
      </c>
      <c r="B39" s="55">
        <v>45779</v>
      </c>
      <c r="C39" s="153" t="str">
        <f>IF(AND(LEFT(E39,3)&lt;&gt;"Chi",E39&lt;&gt;""),"PT2025/"&amp;TEXT(COUNTIF($E$11:E39,"&lt;&gt;Chi*"),"00"),"")</f>
        <v/>
      </c>
      <c r="D39" s="56" t="str">
        <f>IF(AND(LEFT(E39,3)="Chi",E39&lt;&gt;""),"PC2025/"&amp;TEXT(COUNTIF($E$11:E39,"Chi*"),"00"),"")</f>
        <v>PC2025/24</v>
      </c>
      <c r="E39" s="57" t="s">
        <v>478</v>
      </c>
      <c r="F39" s="120"/>
      <c r="G39" s="120">
        <v>300000</v>
      </c>
      <c r="H39" s="118">
        <f t="shared" si="0"/>
        <v>956760</v>
      </c>
      <c r="I39" s="17"/>
    </row>
    <row r="40" spans="1:11" ht="21" customHeight="1">
      <c r="A40" s="55">
        <v>45784</v>
      </c>
      <c r="B40" s="55">
        <v>45784</v>
      </c>
      <c r="C40" s="153" t="str">
        <f>IF(AND(LEFT(E40,3)&lt;&gt;"Chi",E40&lt;&gt;""),"PT2025/"&amp;TEXT(COUNTIF($E$11:E40,"&lt;&gt;Chi*"),"00"),"")</f>
        <v/>
      </c>
      <c r="D40" s="56" t="str">
        <f>IF(AND(LEFT(E40,3)="Chi",E40&lt;&gt;""),"PC2025/"&amp;TEXT(COUNTIF($E$11:E40,"Chi*"),"00"),"")</f>
        <v>PC2025/25</v>
      </c>
      <c r="E40" s="57" t="s">
        <v>434</v>
      </c>
      <c r="F40" s="120"/>
      <c r="G40" s="120">
        <v>300000</v>
      </c>
      <c r="H40" s="118">
        <f t="shared" si="0"/>
        <v>656760</v>
      </c>
      <c r="I40" s="17"/>
    </row>
    <row r="41" spans="1:11" ht="21" customHeight="1">
      <c r="A41" s="55">
        <v>45784</v>
      </c>
      <c r="B41" s="55">
        <v>45784</v>
      </c>
      <c r="C41" s="153" t="str">
        <f>IF(AND(LEFT(E41,3)&lt;&gt;"Chi",E41&lt;&gt;""),"PT2025/"&amp;TEXT(COUNTIF($E$11:E41,"&lt;&gt;Chi*"),"00"),"")</f>
        <v/>
      </c>
      <c r="D41" s="56" t="str">
        <f>IF(AND(LEFT(E41,3)="Chi",E41&lt;&gt;""),"PC2025/"&amp;TEXT(COUNTIF($E$11:E41,"Chi*"),"00"),"")</f>
        <v>PC2025/26</v>
      </c>
      <c r="E41" s="57" t="s">
        <v>435</v>
      </c>
      <c r="F41" s="120"/>
      <c r="G41" s="120">
        <v>300000</v>
      </c>
      <c r="H41" s="118">
        <f t="shared" si="0"/>
        <v>356760</v>
      </c>
      <c r="I41" s="17"/>
    </row>
    <row r="42" spans="1:11" ht="21" customHeight="1">
      <c r="A42" s="55">
        <v>45787</v>
      </c>
      <c r="B42" s="55">
        <v>45787</v>
      </c>
      <c r="C42" s="153" t="str">
        <f>IF(AND(LEFT(E42,3)&lt;&gt;"Chi",E42&lt;&gt;""),"PT2025/"&amp;TEXT(COUNTIF($E$11:E42,"&lt;&gt;Chi*"),"00"),"")</f>
        <v/>
      </c>
      <c r="D42" s="56" t="str">
        <f>IF(AND(LEFT(E42,3)="Chi",E42&lt;&gt;""),"PC2025/"&amp;TEXT(COUNTIF($E$11:E42,"Chi*"),"00"),"")</f>
        <v>PC2025/27</v>
      </c>
      <c r="E42" s="57" t="s">
        <v>436</v>
      </c>
      <c r="F42" s="120"/>
      <c r="G42" s="120">
        <v>300000</v>
      </c>
      <c r="H42" s="147">
        <f t="shared" si="0"/>
        <v>56760</v>
      </c>
      <c r="I42" s="17"/>
      <c r="K42" t="s">
        <v>450</v>
      </c>
    </row>
    <row r="43" spans="1:11" ht="30">
      <c r="A43" s="55">
        <v>45810</v>
      </c>
      <c r="B43" s="55">
        <v>45810</v>
      </c>
      <c r="C43" s="153" t="str">
        <f>IF(AND(LEFT(E43,3)&lt;&gt;"Chi",E43&lt;&gt;""),"PT2025/"&amp;TEXT(COUNTIF($E$11:E43,"&lt;&gt;Chi*"),"00"),"")</f>
        <v>PT2025/06</v>
      </c>
      <c r="D43" s="56" t="str">
        <f>IF(AND(LEFT(E43,3)="Chi",E43&lt;&gt;""),"PC2025/"&amp;TEXT(COUNTIF($E$11:E43,"Chi*"),"00"),"")</f>
        <v/>
      </c>
      <c r="E43" s="57" t="s">
        <v>481</v>
      </c>
      <c r="F43" s="147">
        <v>53100</v>
      </c>
      <c r="G43" s="118"/>
      <c r="H43" s="118">
        <f t="shared" si="0"/>
        <v>109860</v>
      </c>
      <c r="I43" s="17"/>
    </row>
    <row r="44" spans="1:11" ht="20.25" customHeight="1">
      <c r="A44" s="55">
        <v>45812</v>
      </c>
      <c r="B44" s="55">
        <v>45812</v>
      </c>
      <c r="C44" s="153" t="str">
        <f>IF(AND(LEFT(E44,3)&lt;&gt;"Chi",E44&lt;&gt;""),"PT2025/"&amp;TEXT(COUNTIF($E$11:E44,"&lt;&gt;Chi*"),"00"),"")</f>
        <v>PT2025/07</v>
      </c>
      <c r="D44" s="56" t="str">
        <f>IF(AND(LEFT(E44,3)="Chi",E44&lt;&gt;""),"PC2025/"&amp;TEXT(COUNTIF($E$11:E44,"Chi*"),"00"),"")</f>
        <v/>
      </c>
      <c r="E44" s="57" t="s">
        <v>222</v>
      </c>
      <c r="F44" s="147">
        <v>3000000</v>
      </c>
      <c r="G44" s="120"/>
      <c r="H44" s="118">
        <f t="shared" si="0"/>
        <v>3109860</v>
      </c>
      <c r="I44" s="17"/>
    </row>
    <row r="45" spans="1:11" ht="21" customHeight="1">
      <c r="A45" s="55">
        <v>45812</v>
      </c>
      <c r="B45" s="55">
        <v>45812</v>
      </c>
      <c r="C45" s="153" t="str">
        <f>IF(AND(LEFT(E45,3)&lt;&gt;"Chi",E45&lt;&gt;""),"PT2025/"&amp;TEXT(COUNTIF($E$11:E45,"&lt;&gt;Chi*"),"00"),"")</f>
        <v/>
      </c>
      <c r="D45" s="56" t="str">
        <f>IF(AND(LEFT(E45,3)="Chi",E45&lt;&gt;""),"PC2025/"&amp;TEXT(COUNTIF($E$11:E45,"Chi*"),"00"),"")</f>
        <v>PC2025/28</v>
      </c>
      <c r="E45" s="57" t="s">
        <v>437</v>
      </c>
      <c r="F45" s="120"/>
      <c r="G45" s="120">
        <v>300000</v>
      </c>
      <c r="H45" s="118">
        <f t="shared" si="0"/>
        <v>2809860</v>
      </c>
      <c r="I45" s="17"/>
    </row>
    <row r="46" spans="1:11" ht="21" customHeight="1">
      <c r="A46" s="55">
        <v>45812</v>
      </c>
      <c r="B46" s="55">
        <v>45812</v>
      </c>
      <c r="C46" s="153" t="str">
        <f>IF(AND(LEFT(E46,3)&lt;&gt;"Chi",E46&lt;&gt;""),"PT2025/"&amp;TEXT(COUNTIF($E$11:E46,"&lt;&gt;Chi*"),"00"),"")</f>
        <v/>
      </c>
      <c r="D46" s="56" t="str">
        <f>IF(AND(LEFT(E46,3)="Chi",E46&lt;&gt;""),"PC2025/"&amp;TEXT(COUNTIF($E$11:E46,"Chi*"),"00"),"")</f>
        <v>PC2025/29</v>
      </c>
      <c r="E46" s="57" t="s">
        <v>443</v>
      </c>
      <c r="F46" s="120"/>
      <c r="G46" s="120">
        <v>300000</v>
      </c>
      <c r="H46" s="118">
        <f t="shared" si="0"/>
        <v>2509860</v>
      </c>
      <c r="I46" s="17"/>
    </row>
    <row r="47" spans="1:11" ht="21" customHeight="1">
      <c r="A47" s="55">
        <v>45812</v>
      </c>
      <c r="B47" s="55">
        <v>45812</v>
      </c>
      <c r="C47" s="153" t="str">
        <f>IF(AND(LEFT(E47,3)&lt;&gt;"Chi",E47&lt;&gt;""),"PT2025/"&amp;TEXT(COUNTIF($E$11:E47,"&lt;&gt;Chi*"),"00"),"")</f>
        <v/>
      </c>
      <c r="D47" s="56" t="str">
        <f>IF(AND(LEFT(E47,3)="Chi",E47&lt;&gt;""),"PC2025/"&amp;TEXT(COUNTIF($E$11:E47,"Chi*"),"00"),"")</f>
        <v>PC2025/30</v>
      </c>
      <c r="E47" s="57" t="s">
        <v>444</v>
      </c>
      <c r="F47" s="120"/>
      <c r="G47" s="120">
        <v>300000</v>
      </c>
      <c r="H47" s="118">
        <f t="shared" si="0"/>
        <v>2209860</v>
      </c>
      <c r="I47" s="17"/>
    </row>
    <row r="48" spans="1:11" ht="21" customHeight="1">
      <c r="A48" s="55">
        <v>45812</v>
      </c>
      <c r="B48" s="55">
        <v>45812</v>
      </c>
      <c r="C48" s="153" t="str">
        <f>IF(AND(LEFT(E48,3)&lt;&gt;"Chi",E48&lt;&gt;""),"PT2025/"&amp;TEXT(COUNTIF($E$11:E48,"&lt;&gt;Chi*"),"00"),"")</f>
        <v/>
      </c>
      <c r="D48" s="56" t="str">
        <f>IF(AND(LEFT(E48,3)="Chi",E48&lt;&gt;""),"PC2025/"&amp;TEXT(COUNTIF($E$11:E48,"Chi*"),"00"),"")</f>
        <v>PC2025/31</v>
      </c>
      <c r="E48" s="57" t="s">
        <v>451</v>
      </c>
      <c r="F48" s="120"/>
      <c r="G48" s="120">
        <v>300000</v>
      </c>
      <c r="H48" s="118">
        <f t="shared" si="0"/>
        <v>1909860</v>
      </c>
      <c r="I48" s="17"/>
    </row>
    <row r="49" spans="1:11" ht="21" customHeight="1">
      <c r="A49" s="55">
        <v>45814</v>
      </c>
      <c r="B49" s="55">
        <v>45814</v>
      </c>
      <c r="C49" s="153" t="str">
        <f>IF(AND(LEFT(E49,3)&lt;&gt;"Chi",E49&lt;&gt;""),"PT2025/"&amp;TEXT(COUNTIF($E$11:E49,"&lt;&gt;Chi*"),"00"),"")</f>
        <v/>
      </c>
      <c r="D49" s="56" t="str">
        <f>IF(AND(LEFT(E49,3)="Chi",E49&lt;&gt;""),"PC2025/"&amp;TEXT(COUNTIF($E$11:E49,"Chi*"),"00"),"")</f>
        <v>PC2025/32</v>
      </c>
      <c r="E49" s="57" t="s">
        <v>445</v>
      </c>
      <c r="F49" s="120"/>
      <c r="G49" s="120">
        <v>300000</v>
      </c>
      <c r="H49" s="118">
        <f t="shared" si="0"/>
        <v>1609860</v>
      </c>
      <c r="I49" s="17"/>
    </row>
    <row r="50" spans="1:11" ht="21" customHeight="1">
      <c r="A50" s="55">
        <v>45817</v>
      </c>
      <c r="B50" s="55">
        <v>45817</v>
      </c>
      <c r="C50" s="153" t="str">
        <f>IF(AND(LEFT(E50,3)&lt;&gt;"Chi",E50&lt;&gt;""),"PT2025/"&amp;TEXT(COUNTIF($E$11:E50,"&lt;&gt;Chi*"),"00"),"")</f>
        <v/>
      </c>
      <c r="D50" s="56" t="str">
        <f>IF(AND(LEFT(E50,3)="Chi",E50&lt;&gt;""),"PC2025/"&amp;TEXT(COUNTIF($E$11:E50,"Chi*"),"00"),"")</f>
        <v>PC2025/33</v>
      </c>
      <c r="E50" s="57" t="s">
        <v>446</v>
      </c>
      <c r="F50" s="120"/>
      <c r="G50" s="120">
        <v>300000</v>
      </c>
      <c r="H50" s="118">
        <f t="shared" si="0"/>
        <v>1309860</v>
      </c>
      <c r="I50" s="17"/>
    </row>
    <row r="51" spans="1:11" ht="21" customHeight="1">
      <c r="A51" s="55">
        <v>45824</v>
      </c>
      <c r="B51" s="55">
        <v>45824</v>
      </c>
      <c r="C51" s="153" t="str">
        <f>IF(AND(LEFT(E51,3)&lt;&gt;"Chi",E51&lt;&gt;""),"PT2025/"&amp;TEXT(COUNTIF($E$11:E51,"&lt;&gt;Chi*"),"00"),"")</f>
        <v/>
      </c>
      <c r="D51" s="56" t="str">
        <f>IF(AND(LEFT(E51,3)="Chi",E51&lt;&gt;""),"PC2025/"&amp;TEXT(COUNTIF($E$11:E51,"Chi*"),"00"),"")</f>
        <v>PC2025/34</v>
      </c>
      <c r="E51" s="57" t="s">
        <v>447</v>
      </c>
      <c r="F51" s="120"/>
      <c r="G51" s="120">
        <v>300000</v>
      </c>
      <c r="H51" s="118">
        <f t="shared" si="0"/>
        <v>1009860</v>
      </c>
      <c r="I51" s="17"/>
    </row>
    <row r="52" spans="1:11" ht="21" customHeight="1">
      <c r="A52" s="55">
        <v>45832</v>
      </c>
      <c r="B52" s="55">
        <v>45832</v>
      </c>
      <c r="C52" s="153" t="str">
        <f>IF(AND(LEFT(E52,3)&lt;&gt;"Chi",E52&lt;&gt;""),"PT2025/"&amp;TEXT(COUNTIF($E$11:E52,"&lt;&gt;Chi*"),"00"),"")</f>
        <v/>
      </c>
      <c r="D52" s="56" t="str">
        <f>IF(AND(LEFT(E52,3)="Chi",E52&lt;&gt;""),"PC2025/"&amp;TEXT(COUNTIF($E$11:E52,"Chi*"),"00"),"")</f>
        <v>PC2025/35</v>
      </c>
      <c r="E52" s="57" t="s">
        <v>448</v>
      </c>
      <c r="F52" s="120"/>
      <c r="G52" s="120">
        <v>300000</v>
      </c>
      <c r="H52" s="118">
        <f t="shared" si="0"/>
        <v>709860</v>
      </c>
      <c r="I52" s="17"/>
    </row>
    <row r="53" spans="1:11" ht="21" customHeight="1">
      <c r="A53" s="55">
        <v>45837</v>
      </c>
      <c r="B53" s="55">
        <v>45837</v>
      </c>
      <c r="C53" s="153" t="str">
        <f>IF(AND(LEFT(E53,3)&lt;&gt;"Chi",E53&lt;&gt;""),"PT2025/"&amp;TEXT(COUNTIF($E$11:E53,"&lt;&gt;Chi*"),"00"),"")</f>
        <v/>
      </c>
      <c r="D53" s="56" t="str">
        <f>IF(AND(LEFT(E53,3)="Chi",E53&lt;&gt;""),"PC2025/"&amp;TEXT(COUNTIF($E$11:E53,"Chi*"),"00"),"")</f>
        <v>PC2025/36</v>
      </c>
      <c r="E53" s="42" t="s">
        <v>449</v>
      </c>
      <c r="F53" s="120"/>
      <c r="G53" s="120">
        <v>300000</v>
      </c>
      <c r="H53" s="147">
        <f t="shared" si="0"/>
        <v>409860</v>
      </c>
      <c r="I53" s="17"/>
      <c r="K53" t="s">
        <v>450</v>
      </c>
    </row>
    <row r="54" spans="1:11" ht="21" customHeight="1">
      <c r="A54" s="55">
        <v>45839</v>
      </c>
      <c r="B54" s="55">
        <v>45839</v>
      </c>
      <c r="C54" s="153" t="str">
        <f>IF(AND(LEFT(E54,3)&lt;&gt;"Chi",E54&lt;&gt;""),"PT2025/"&amp;TEXT(COUNTIF($E$11:E54,"&lt;&gt;Chi*"),"00"),"")</f>
        <v>PT2025/08</v>
      </c>
      <c r="D54" s="56" t="str">
        <f>IF(AND(LEFT(E54,3)="Chi",E54&lt;&gt;""),"PC2025/"&amp;TEXT(COUNTIF($E$11:E54,"Chi*"),"00"),"")</f>
        <v/>
      </c>
      <c r="E54" s="42" t="s">
        <v>487</v>
      </c>
      <c r="F54" s="147">
        <v>223000</v>
      </c>
      <c r="G54" s="120"/>
      <c r="H54" s="118">
        <f t="shared" si="0"/>
        <v>632860</v>
      </c>
      <c r="I54" s="17"/>
      <c r="J54" t="s">
        <v>488</v>
      </c>
    </row>
    <row r="55" spans="1:11" ht="21" customHeight="1">
      <c r="A55" s="55">
        <v>45847</v>
      </c>
      <c r="B55" s="55">
        <v>45847</v>
      </c>
      <c r="C55" s="153" t="str">
        <f>IF(AND(LEFT(E55,3)&lt;&gt;"Chi",E55&lt;&gt;""),"PT2025/"&amp;TEXT(COUNTIF($E$11:E55,"&lt;&gt;Chi*"),"00"),"")</f>
        <v/>
      </c>
      <c r="D55" s="56" t="str">
        <f>IF(AND(LEFT(E55,3)="Chi",E55&lt;&gt;""),"PC2025/"&amp;TEXT(COUNTIF($E$11:E55,"Chi*"),"00"),"")</f>
        <v>PC2025/37</v>
      </c>
      <c r="E55" s="42" t="s">
        <v>497</v>
      </c>
      <c r="F55" s="120"/>
      <c r="G55" s="120">
        <v>300000</v>
      </c>
      <c r="H55" s="118">
        <f t="shared" si="0"/>
        <v>332860</v>
      </c>
      <c r="I55" s="17"/>
    </row>
    <row r="56" spans="1:11" ht="21" customHeight="1">
      <c r="A56" s="55">
        <v>45851</v>
      </c>
      <c r="B56" s="55">
        <v>45851</v>
      </c>
      <c r="C56" s="153" t="str">
        <f>IF(AND(LEFT(E56,3)&lt;&gt;"Chi",E56&lt;&gt;""),"PT2025/"&amp;TEXT(COUNTIF($E$11:E56,"&lt;&gt;Chi*"),"00"),"")</f>
        <v/>
      </c>
      <c r="D56" s="56" t="str">
        <f>IF(AND(LEFT(E56,3)="Chi",E56&lt;&gt;""),"PC2025/"&amp;TEXT(COUNTIF($E$11:E56,"Chi*"),"00"),"")</f>
        <v>PC2025/38</v>
      </c>
      <c r="E56" s="42" t="s">
        <v>498</v>
      </c>
      <c r="F56" s="120"/>
      <c r="G56" s="120">
        <v>300000</v>
      </c>
      <c r="H56" s="118">
        <f t="shared" si="0"/>
        <v>32860</v>
      </c>
      <c r="I56" s="17"/>
    </row>
    <row r="57" spans="1:11" ht="21" customHeight="1">
      <c r="A57" s="55">
        <v>45869</v>
      </c>
      <c r="B57" s="55">
        <v>45869</v>
      </c>
      <c r="C57" s="153" t="str">
        <f>IF(AND(LEFT(E57,3)&lt;&gt;"Chi",E57&lt;&gt;""),"PT2025/"&amp;TEXT(COUNTIF($E$11:E57,"&lt;&gt;Chi*"),"00"),"")</f>
        <v>PT2025/09</v>
      </c>
      <c r="D57" s="56" t="str">
        <f>IF(AND(LEFT(E57,3)="Chi",E57&lt;&gt;""),"PC2025/"&amp;TEXT(COUNTIF($E$11:E57,"Chi*"),"00"),"")</f>
        <v/>
      </c>
      <c r="E57" s="57" t="s">
        <v>499</v>
      </c>
      <c r="F57" s="147">
        <v>1347650</v>
      </c>
      <c r="G57" s="120"/>
      <c r="H57" s="147">
        <f t="shared" si="0"/>
        <v>1380510</v>
      </c>
      <c r="I57" s="17"/>
      <c r="K57" t="s">
        <v>450</v>
      </c>
    </row>
    <row r="58" spans="1:11" ht="21" customHeight="1">
      <c r="A58" s="55">
        <v>45876</v>
      </c>
      <c r="B58" s="55">
        <v>45876</v>
      </c>
      <c r="C58" s="153" t="str">
        <f>IF(AND(LEFT(E58,3)&lt;&gt;"Chi",E58&lt;&gt;""),"PT2025/"&amp;TEXT(COUNTIF($E$11:E58,"&lt;&gt;Chi*"),"00"),"")</f>
        <v/>
      </c>
      <c r="D58" s="56" t="str">
        <f>IF(AND(LEFT(E58,3)="Chi",E58&lt;&gt;""),"PC2025/"&amp;TEXT(COUNTIF($E$11:E58,"Chi*"),"00"),"")</f>
        <v>PC2025/39</v>
      </c>
      <c r="E58" s="42" t="s">
        <v>500</v>
      </c>
      <c r="F58" s="120"/>
      <c r="G58" s="120">
        <v>300000</v>
      </c>
      <c r="H58" s="118">
        <f t="shared" si="0"/>
        <v>1080510</v>
      </c>
      <c r="I58" s="17"/>
    </row>
    <row r="59" spans="1:11" ht="21" customHeight="1">
      <c r="A59" s="55">
        <v>45894</v>
      </c>
      <c r="B59" s="55">
        <v>45894</v>
      </c>
      <c r="C59" s="153" t="str">
        <f>IF(AND(LEFT(E59,3)&lt;&gt;"Chi",E59&lt;&gt;""),"PT2025/"&amp;TEXT(COUNTIF($E$11:E59,"&lt;&gt;Chi*"),"00"),"")</f>
        <v>PT2025/10</v>
      </c>
      <c r="D59" s="56" t="str">
        <f>IF(AND(LEFT(E59,3)="Chi",E59&lt;&gt;""),"PC2025/"&amp;TEXT(COUNTIF($E$11:E59,"Chi*"),"00"),"")</f>
        <v/>
      </c>
      <c r="E59" s="57" t="s">
        <v>502</v>
      </c>
      <c r="F59" s="147">
        <v>1347650</v>
      </c>
      <c r="G59" s="120"/>
      <c r="H59" s="118">
        <f t="shared" si="0"/>
        <v>2428160</v>
      </c>
      <c r="I59" s="17"/>
    </row>
    <row r="60" spans="1:11" ht="21" customHeight="1">
      <c r="A60" s="55">
        <v>45895</v>
      </c>
      <c r="B60" s="55">
        <v>45895</v>
      </c>
      <c r="C60" s="153" t="str">
        <f>IF(AND(LEFT(E60,3)&lt;&gt;"Chi",E60&lt;&gt;""),"PT2025/"&amp;TEXT(COUNTIF($E$11:E60,"&lt;&gt;Chi*"),"00"),"")</f>
        <v/>
      </c>
      <c r="D60" s="56" t="str">
        <f>IF(AND(LEFT(E60,3)="Chi",E60&lt;&gt;""),"PC2025/"&amp;TEXT(COUNTIF($E$11:E60,"Chi*"),"00"),"")</f>
        <v>PC2025/40</v>
      </c>
      <c r="E60" s="42" t="s">
        <v>501</v>
      </c>
      <c r="F60" s="120"/>
      <c r="G60" s="120">
        <v>300000</v>
      </c>
      <c r="H60" s="118">
        <f t="shared" si="0"/>
        <v>2128160</v>
      </c>
      <c r="I60" s="17"/>
    </row>
    <row r="61" spans="1:11" ht="30">
      <c r="A61" s="55">
        <v>45897</v>
      </c>
      <c r="B61" s="55">
        <v>45897</v>
      </c>
      <c r="C61" s="153" t="str">
        <f>IF(AND(LEFT(E61,3)&lt;&gt;"Chi",E61&lt;&gt;""),"PT2025/"&amp;TEXT(COUNTIF($E$11:E61,"&lt;&gt;Chi*"),"00"),"")</f>
        <v/>
      </c>
      <c r="D61" s="56" t="str">
        <f>IF(AND(LEFT(E61,3)="Chi",E61&lt;&gt;""),"PC2025/"&amp;TEXT(COUNTIF($E$11:E61,"Chi*"),"00"),"")</f>
        <v>PC2025/41</v>
      </c>
      <c r="E61" s="42" t="s">
        <v>525</v>
      </c>
      <c r="F61" s="120"/>
      <c r="G61" s="120">
        <v>756000</v>
      </c>
      <c r="H61" s="118">
        <f t="shared" si="0"/>
        <v>1372160</v>
      </c>
      <c r="I61" s="17"/>
    </row>
    <row r="62" spans="1:11" ht="21" customHeight="1">
      <c r="A62" s="55">
        <v>45899</v>
      </c>
      <c r="B62" s="55">
        <v>45899</v>
      </c>
      <c r="C62" s="153" t="str">
        <f>IF(AND(LEFT(E62,3)&lt;&gt;"Chi",E62&lt;&gt;""),"PT2025/"&amp;TEXT(COUNTIF($E$11:E62,"&lt;&gt;Chi*"),"00"),"")</f>
        <v/>
      </c>
      <c r="D62" s="56" t="str">
        <f>IF(AND(LEFT(E62,3)="Chi",E62&lt;&gt;""),"PC2025/"&amp;TEXT(COUNTIF($E$11:E62,"Chi*"),"00"),"")</f>
        <v>PC2025/42</v>
      </c>
      <c r="E62" s="42" t="s">
        <v>514</v>
      </c>
      <c r="F62" s="120"/>
      <c r="G62" s="120">
        <v>300000</v>
      </c>
      <c r="H62" s="147">
        <f t="shared" si="0"/>
        <v>1072160</v>
      </c>
      <c r="I62" s="17"/>
      <c r="K62" t="s">
        <v>450</v>
      </c>
    </row>
    <row r="63" spans="1:11" ht="21" customHeight="1">
      <c r="A63" s="55">
        <v>45903</v>
      </c>
      <c r="B63" s="55">
        <v>45903</v>
      </c>
      <c r="C63" s="153" t="str">
        <f>IF(AND(LEFT(E63,3)&lt;&gt;"Chi",E63&lt;&gt;""),"PT2025/"&amp;TEXT(COUNTIF($E$11:E63,"&lt;&gt;Chi*"),"00"),"")</f>
        <v/>
      </c>
      <c r="D63" s="56" t="str">
        <f>IF(AND(LEFT(E63,3)="Chi",E63&lt;&gt;""),"PC2025/"&amp;TEXT(COUNTIF($E$11:E63,"Chi*"),"00"),"")</f>
        <v>PC2025/43</v>
      </c>
      <c r="E63" s="42" t="s">
        <v>528</v>
      </c>
      <c r="F63" s="120"/>
      <c r="G63" s="120">
        <v>300000</v>
      </c>
      <c r="H63" s="120">
        <f t="shared" si="0"/>
        <v>772160</v>
      </c>
      <c r="I63" s="17"/>
    </row>
    <row r="64" spans="1:11" ht="21" customHeight="1">
      <c r="A64" s="55">
        <v>45912</v>
      </c>
      <c r="B64" s="55">
        <v>45912</v>
      </c>
      <c r="C64" s="153" t="str">
        <f>IF(AND(LEFT(E64,3)&lt;&gt;"Chi",E64&lt;&gt;""),"PT2025/"&amp;TEXT(COUNTIF($E$11:E64,"&lt;&gt;Chi*"),"00"),"")</f>
        <v/>
      </c>
      <c r="D64" s="56" t="str">
        <f>IF(AND(LEFT(E64,3)="Chi",E64&lt;&gt;""),"PC2025/"&amp;TEXT(COUNTIF($E$11:E64,"Chi*"),"00"),"")</f>
        <v>PC2025/44</v>
      </c>
      <c r="E64" s="42" t="s">
        <v>529</v>
      </c>
      <c r="F64" s="120"/>
      <c r="G64" s="120">
        <v>300000</v>
      </c>
      <c r="H64" s="120">
        <f t="shared" si="0"/>
        <v>472160</v>
      </c>
      <c r="I64" s="17"/>
    </row>
    <row r="65" spans="1:11" ht="21" customHeight="1">
      <c r="A65" s="55">
        <v>45915</v>
      </c>
      <c r="B65" s="55">
        <v>45915</v>
      </c>
      <c r="C65" s="153" t="str">
        <f>IF(AND(LEFT(E65,3)&lt;&gt;"Chi",E65&lt;&gt;""),"PT2025/"&amp;TEXT(COUNTIF($E$11:E65,"&lt;&gt;Chi*"),"00"),"")</f>
        <v/>
      </c>
      <c r="D65" s="56" t="str">
        <f>IF(AND(LEFT(E65,3)="Chi",E65&lt;&gt;""),"PC2025/"&amp;TEXT(COUNTIF($E$11:E65,"Chi*"),"00"),"")</f>
        <v>PC2025/45</v>
      </c>
      <c r="E65" s="42" t="s">
        <v>515</v>
      </c>
      <c r="F65" s="120"/>
      <c r="G65" s="120">
        <v>300000</v>
      </c>
      <c r="H65" s="120">
        <f t="shared" si="0"/>
        <v>172160</v>
      </c>
      <c r="I65" s="17"/>
    </row>
    <row r="66" spans="1:11" ht="20.25" customHeight="1">
      <c r="A66" s="55">
        <v>45923</v>
      </c>
      <c r="B66" s="55">
        <v>45923</v>
      </c>
      <c r="C66" s="153" t="str">
        <f>IF(AND(LEFT(E66,3)&lt;&gt;"Chi",E66&lt;&gt;""),"PT2025/"&amp;TEXT(COUNTIF($E$11:E66,"&lt;&gt;Chi*"),"00"),"")</f>
        <v>PT2025/11</v>
      </c>
      <c r="D66" s="56" t="str">
        <f>IF(AND(LEFT(E66,3)="Chi",E66&lt;&gt;""),"PC2025/"&amp;TEXT(COUNTIF($E$11:E66,"Chi*"),"00"),"")</f>
        <v/>
      </c>
      <c r="E66" s="57" t="s">
        <v>222</v>
      </c>
      <c r="F66" s="147">
        <v>6000000</v>
      </c>
      <c r="G66" s="120"/>
      <c r="H66" s="120">
        <f t="shared" si="0"/>
        <v>6172160</v>
      </c>
      <c r="I66" s="17"/>
    </row>
    <row r="67" spans="1:11" ht="21" customHeight="1">
      <c r="A67" s="55">
        <v>45923</v>
      </c>
      <c r="B67" s="55">
        <v>45923</v>
      </c>
      <c r="C67" s="153" t="str">
        <f>IF(AND(LEFT(E67,3)&lt;&gt;"Chi",E67&lt;&gt;""),"PT2025/"&amp;TEXT(COUNTIF($E$11:E67,"&lt;&gt;Chi*"),"00"),"")</f>
        <v/>
      </c>
      <c r="D67" s="56" t="str">
        <f>IF(AND(LEFT(E67,3)="Chi",E67&lt;&gt;""),"PC2025/"&amp;TEXT(COUNTIF($E$11:E67,"Chi*"),"00"),"")</f>
        <v>PC2025/46</v>
      </c>
      <c r="E67" s="57" t="s">
        <v>517</v>
      </c>
      <c r="F67" s="120"/>
      <c r="G67" s="118">
        <v>4900000</v>
      </c>
      <c r="H67" s="120">
        <f t="shared" si="0"/>
        <v>1272160</v>
      </c>
      <c r="I67" s="17"/>
    </row>
    <row r="68" spans="1:11" ht="21" customHeight="1">
      <c r="A68" s="55">
        <v>45923</v>
      </c>
      <c r="B68" s="55">
        <v>45923</v>
      </c>
      <c r="C68" s="153" t="str">
        <f>IF(AND(LEFT(E68,3)&lt;&gt;"Chi",E68&lt;&gt;""),"PT2025/"&amp;TEXT(COUNTIF($E$11:E68,"&lt;&gt;Chi*"),"00"),"")</f>
        <v/>
      </c>
      <c r="D68" s="56" t="str">
        <f>IF(AND(LEFT(E68,3)="Chi",E68&lt;&gt;""),"PC2025/"&amp;TEXT(COUNTIF($E$11:E68,"Chi*"),"00"),"")</f>
        <v>PC2025/47</v>
      </c>
      <c r="E68" s="42" t="s">
        <v>516</v>
      </c>
      <c r="F68" s="120"/>
      <c r="G68" s="120">
        <v>300000</v>
      </c>
      <c r="H68" s="147">
        <f t="shared" si="0"/>
        <v>972160</v>
      </c>
      <c r="I68" s="17"/>
      <c r="K68" t="s">
        <v>450</v>
      </c>
    </row>
    <row r="69" spans="1:11" ht="21" customHeight="1">
      <c r="A69" s="55">
        <v>45931</v>
      </c>
      <c r="B69" s="55">
        <v>45931</v>
      </c>
      <c r="C69" s="153" t="str">
        <f>IF(AND(LEFT(E69,3)&lt;&gt;"Chi",E69&lt;&gt;""),"PT2025/"&amp;TEXT(COUNTIF($E$11:E69,"&lt;&gt;Chi*"),"00"),"")</f>
        <v>PT2025/12</v>
      </c>
      <c r="D69" s="56" t="str">
        <f>IF(AND(LEFT(E69,3)="Chi",E69&lt;&gt;""),"PC2025/"&amp;TEXT(COUNTIF($E$11:E69,"Chi*"),"00"),"")</f>
        <v/>
      </c>
      <c r="E69" s="57" t="s">
        <v>526</v>
      </c>
      <c r="F69" s="147">
        <v>1347650</v>
      </c>
      <c r="G69" s="120"/>
      <c r="H69" s="120">
        <f t="shared" si="0"/>
        <v>2319810</v>
      </c>
      <c r="I69" s="17"/>
    </row>
    <row r="70" spans="1:11" ht="21" customHeight="1">
      <c r="A70" s="55">
        <v>45941</v>
      </c>
      <c r="B70" s="55">
        <v>45941</v>
      </c>
      <c r="C70" s="153" t="str">
        <f>IF(AND(LEFT(E70,3)&lt;&gt;"Chi",E70&lt;&gt;""),"PT2025/"&amp;TEXT(COUNTIF($E$11:E70,"&lt;&gt;Chi*"),"00"),"")</f>
        <v/>
      </c>
      <c r="D70" s="56" t="str">
        <f>IF(AND(LEFT(E70,3)="Chi",E70&lt;&gt;""),"PC2025/"&amp;TEXT(COUNTIF($E$11:E70,"Chi*"),"00"),"")</f>
        <v>PC2025/48</v>
      </c>
      <c r="E70" s="42" t="s">
        <v>311</v>
      </c>
      <c r="F70" s="120"/>
      <c r="G70" s="120">
        <v>300000</v>
      </c>
      <c r="H70" s="120">
        <f t="shared" si="0"/>
        <v>2019810</v>
      </c>
      <c r="I70" s="17"/>
    </row>
    <row r="71" spans="1:11" ht="21" customHeight="1">
      <c r="A71" s="55">
        <v>45949</v>
      </c>
      <c r="B71" s="55">
        <v>45949</v>
      </c>
      <c r="C71" s="153" t="str">
        <f>IF(AND(LEFT(E71,3)&lt;&gt;"Chi",E71&lt;&gt;""),"PT2025/"&amp;TEXT(COUNTIF($E$11:E71,"&lt;&gt;Chi*"),"00"),"")</f>
        <v>PT2025/13</v>
      </c>
      <c r="D71" s="56" t="str">
        <f>IF(AND(LEFT(E71,3)="Chi",E71&lt;&gt;""),"PC2025/"&amp;TEXT(COUNTIF($E$11:E71,"Chi*"),"00"),"")</f>
        <v/>
      </c>
      <c r="E71" s="57" t="s">
        <v>545</v>
      </c>
      <c r="F71" s="157">
        <v>1108700</v>
      </c>
      <c r="G71" s="120"/>
      <c r="H71" s="120">
        <f t="shared" si="0"/>
        <v>3128510</v>
      </c>
      <c r="I71" s="17"/>
    </row>
    <row r="72" spans="1:11" ht="21" customHeight="1">
      <c r="A72" s="55">
        <v>45950</v>
      </c>
      <c r="B72" s="55">
        <v>45950</v>
      </c>
      <c r="C72" s="153" t="str">
        <f>IF(AND(LEFT(E72,3)&lt;&gt;"Chi",E72&lt;&gt;""),"PT2025/"&amp;TEXT(COUNTIF($E$11:E72,"&lt;&gt;Chi*"),"00"),"")</f>
        <v/>
      </c>
      <c r="D72" s="56" t="str">
        <f>IF(AND(LEFT(E72,3)="Chi",E72&lt;&gt;""),"PC2025/"&amp;TEXT(COUNTIF($E$11:E72,"Chi*"),"00"),"")</f>
        <v>PC2025/49</v>
      </c>
      <c r="E72" s="57" t="s">
        <v>527</v>
      </c>
      <c r="F72" s="120"/>
      <c r="G72" s="120">
        <v>2861000</v>
      </c>
      <c r="H72" s="147">
        <f t="shared" si="0"/>
        <v>267510</v>
      </c>
      <c r="I72" s="17"/>
      <c r="K72" t="s">
        <v>450</v>
      </c>
    </row>
    <row r="73" spans="1:11" ht="21" customHeight="1">
      <c r="A73" s="55">
        <v>45964</v>
      </c>
      <c r="B73" s="55">
        <v>45964</v>
      </c>
      <c r="C73" s="153" t="str">
        <f>IF(AND(LEFT(E73,3)&lt;&gt;"Chi",E73&lt;&gt;""),"PT2025/"&amp;TEXT(COUNTIF($E$11:E73,"&lt;&gt;Chi*"),"00"),"")</f>
        <v>PT2025/14</v>
      </c>
      <c r="D73" s="56" t="str">
        <f>IF(AND(LEFT(E73,3)="Chi",E73&lt;&gt;""),"PC2025/"&amp;TEXT(COUNTIF($E$11:E73,"Chi*"),"00"),"")</f>
        <v/>
      </c>
      <c r="E73" s="57" t="s">
        <v>546</v>
      </c>
      <c r="F73" s="157">
        <v>1135250</v>
      </c>
      <c r="G73" s="120"/>
      <c r="H73" s="120">
        <f t="shared" si="0"/>
        <v>1402760</v>
      </c>
      <c r="I73" s="17"/>
    </row>
    <row r="74" spans="1:11" ht="21" customHeight="1">
      <c r="A74" s="55">
        <v>45964</v>
      </c>
      <c r="B74" s="55">
        <v>45964</v>
      </c>
      <c r="C74" s="153" t="str">
        <f>IF(AND(LEFT(E74,3)&lt;&gt;"Chi",E74&lt;&gt;""),"PT2025/"&amp;TEXT(COUNTIF($E$11:E74,"&lt;&gt;Chi*"),"00"),"")</f>
        <v/>
      </c>
      <c r="D74" s="56" t="str">
        <f>IF(AND(LEFT(E74,3)="Chi",E74&lt;&gt;""),"PC2025/"&amp;TEXT(COUNTIF($E$11:E74,"Chi*"),"00"),"")</f>
        <v>PC2025/50</v>
      </c>
      <c r="E74" s="42" t="s">
        <v>530</v>
      </c>
      <c r="F74" s="120"/>
      <c r="G74" s="120">
        <v>300000</v>
      </c>
      <c r="H74" s="120">
        <f t="shared" si="0"/>
        <v>1102760</v>
      </c>
      <c r="I74" s="17"/>
    </row>
    <row r="75" spans="1:11" ht="21" customHeight="1">
      <c r="A75" s="55">
        <v>45964</v>
      </c>
      <c r="B75" s="55">
        <v>45964</v>
      </c>
      <c r="C75" s="153" t="str">
        <f>IF(AND(LEFT(E75,3)&lt;&gt;"Chi",E75&lt;&gt;""),"PT2025/"&amp;TEXT(COUNTIF($E$11:E75,"&lt;&gt;Chi*"),"00"),"")</f>
        <v/>
      </c>
      <c r="D75" s="56" t="str">
        <f>IF(AND(LEFT(E75,3)="Chi",E75&lt;&gt;""),"PC2025/"&amp;TEXT(COUNTIF($E$11:E75,"Chi*"),"00"),"")</f>
        <v>PC2025/51</v>
      </c>
      <c r="E75" s="42" t="s">
        <v>547</v>
      </c>
      <c r="F75" s="120"/>
      <c r="G75" s="120">
        <v>300000</v>
      </c>
      <c r="H75" s="120">
        <f t="shared" si="0"/>
        <v>802760</v>
      </c>
      <c r="I75" s="17"/>
    </row>
    <row r="76" spans="1:11" ht="21" customHeight="1">
      <c r="A76" s="55">
        <v>45983</v>
      </c>
      <c r="B76" s="55">
        <v>45983</v>
      </c>
      <c r="C76" s="153"/>
      <c r="D76" s="56" t="str">
        <f>IF(AND(LEFT(E76,3)="Chi",E76&lt;&gt;""),"PC2025/"&amp;TEXT(COUNTIF($E$11:E76,"Chi*"),"00"),"")</f>
        <v>PC2025/52</v>
      </c>
      <c r="E76" s="42" t="s">
        <v>531</v>
      </c>
      <c r="F76" s="120"/>
      <c r="G76" s="120">
        <v>300000</v>
      </c>
      <c r="H76" s="120">
        <f t="shared" ref="H76:H81" si="1">+H75+F76-G76</f>
        <v>502760</v>
      </c>
      <c r="I76" s="17"/>
    </row>
    <row r="77" spans="1:11" ht="21" customHeight="1">
      <c r="A77" s="55">
        <v>45986</v>
      </c>
      <c r="B77" s="55">
        <v>45986</v>
      </c>
      <c r="C77" s="153" t="str">
        <f>IF(AND(LEFT(E77,3)&lt;&gt;"Chi",E77&lt;&gt;""),"PT2025/"&amp;TEXT(COUNTIF($E$11:E77,"&lt;&gt;Chi*"),"00"),"")</f>
        <v/>
      </c>
      <c r="D77" s="56" t="str">
        <f>IF(AND(LEFT(E77,3)="Chi",E77&lt;&gt;""),"PC2025/"&amp;TEXT(COUNTIF($E$11:E77,"Chi*"),"00"),"")</f>
        <v>PC2025/53</v>
      </c>
      <c r="E77" s="42" t="s">
        <v>532</v>
      </c>
      <c r="F77" s="120"/>
      <c r="G77" s="120">
        <v>300000</v>
      </c>
      <c r="H77" s="147">
        <f t="shared" si="1"/>
        <v>202760</v>
      </c>
      <c r="I77" s="17"/>
      <c r="K77" t="s">
        <v>450</v>
      </c>
    </row>
    <row r="78" spans="1:11" ht="21" customHeight="1">
      <c r="A78" s="55">
        <v>45992</v>
      </c>
      <c r="B78" s="55">
        <v>45992</v>
      </c>
      <c r="C78" s="153" t="str">
        <f>IF(AND(LEFT(E78,3)&lt;&gt;"Chi",E78&lt;&gt;""),"PT2025/"&amp;TEXT(COUNTIF($E$11:E78,"&lt;&gt;Chi*"),"00"),"")</f>
        <v>PT2025/15</v>
      </c>
      <c r="D78" s="56" t="str">
        <f>IF(AND(LEFT(E78,3)="Chi",E78&lt;&gt;""),"PC2025/"&amp;TEXT(COUNTIF($E$11:E78,"Chi*"),"00"),"")</f>
        <v/>
      </c>
      <c r="E78" s="57" t="s">
        <v>548</v>
      </c>
      <c r="F78" s="157">
        <v>1135250</v>
      </c>
      <c r="G78" s="120"/>
      <c r="H78" s="120">
        <f t="shared" si="1"/>
        <v>1338010</v>
      </c>
      <c r="I78" s="17"/>
    </row>
    <row r="79" spans="1:11" ht="21" customHeight="1">
      <c r="A79" s="55">
        <v>45993</v>
      </c>
      <c r="B79" s="55">
        <v>45993</v>
      </c>
      <c r="C79" s="153" t="str">
        <f>IF(AND(LEFT(E79,3)&lt;&gt;"Chi",E79&lt;&gt;""),"PT2025/"&amp;TEXT(COUNTIF($E$11:E79,"&lt;&gt;Chi*"),"00"),"")</f>
        <v/>
      </c>
      <c r="D79" s="56" t="str">
        <f>IF(AND(LEFT(E79,3)="Chi",E79&lt;&gt;""),"PC2025/"&amp;TEXT(COUNTIF($E$11:E79,"Chi*"),"00"),"")</f>
        <v>PC2025/54</v>
      </c>
      <c r="E79" s="42" t="s">
        <v>533</v>
      </c>
      <c r="F79" s="120"/>
      <c r="G79" s="120">
        <v>300000</v>
      </c>
      <c r="H79" s="120">
        <f t="shared" si="1"/>
        <v>1038010</v>
      </c>
      <c r="I79" s="17"/>
    </row>
    <row r="80" spans="1:11" ht="21" customHeight="1">
      <c r="A80" s="55">
        <v>45998</v>
      </c>
      <c r="B80" s="55">
        <v>45998</v>
      </c>
      <c r="C80" s="153" t="str">
        <f>IF(AND(LEFT(E80,3)&lt;&gt;"Chi",E80&lt;&gt;""),"PT2025/"&amp;TEXT(COUNTIF($E$11:E80,"&lt;&gt;Chi*"),"00"),"")</f>
        <v/>
      </c>
      <c r="D80" s="56" t="str">
        <f>IF(AND(LEFT(E80,3)="Chi",E80&lt;&gt;""),"PC2025/"&amp;TEXT(COUNTIF($E$11:E80,"Chi*"),"00"),"")</f>
        <v>PC2025/55</v>
      </c>
      <c r="E80" s="42" t="s">
        <v>534</v>
      </c>
      <c r="F80" s="120"/>
      <c r="G80" s="120">
        <v>300000</v>
      </c>
      <c r="H80" s="120">
        <f t="shared" si="1"/>
        <v>738010</v>
      </c>
      <c r="I80" s="17"/>
    </row>
    <row r="81" spans="1:11" ht="21" customHeight="1">
      <c r="A81" s="55">
        <v>46016</v>
      </c>
      <c r="B81" s="55">
        <v>46016</v>
      </c>
      <c r="C81" s="153" t="str">
        <f>IF(AND(LEFT(E81,3)&lt;&gt;"Chi",E81&lt;&gt;""),"PT2025/"&amp;TEXT(COUNTIF($E$11:E81,"&lt;&gt;Chi*"),"00"),"")</f>
        <v/>
      </c>
      <c r="D81" s="56" t="str">
        <f>IF(AND(LEFT(E81,3)="Chi",E81&lt;&gt;""),"PC2025/"&amp;TEXT(COUNTIF($E$11:E81,"Chi*"),"00"),"")</f>
        <v>PC2025/56</v>
      </c>
      <c r="E81" s="42" t="s">
        <v>535</v>
      </c>
      <c r="F81" s="120"/>
      <c r="G81" s="120">
        <v>300000</v>
      </c>
      <c r="H81" s="120">
        <f t="shared" si="1"/>
        <v>438010</v>
      </c>
      <c r="I81" s="17"/>
    </row>
    <row r="82" spans="1:11" ht="21.75" customHeight="1">
      <c r="A82" s="124"/>
      <c r="B82" s="124"/>
      <c r="C82" s="153" t="str">
        <f>IF(AND(LEFT(E82,3)&lt;&gt;"Chi",E82&lt;&gt;""),"PT2025/"&amp;TEXT(COUNTIF($E$11:E82,"&lt;&gt;Chi*"),"00"),"")</f>
        <v/>
      </c>
      <c r="D82" s="56" t="str">
        <f>IF(AND(LEFT(E82,3)="Chi",E82&lt;&gt;""),"PC2025/"&amp;TEXT(COUNTIF($E$11:E82,"Chi*"),"00"),"")</f>
        <v/>
      </c>
      <c r="E82" s="57"/>
      <c r="F82" s="60"/>
      <c r="G82" s="54"/>
      <c r="H82" s="147">
        <f>+H81+F82-G82</f>
        <v>438010</v>
      </c>
      <c r="I82" s="17"/>
      <c r="K82" t="s">
        <v>450</v>
      </c>
    </row>
    <row r="83" spans="1:11" ht="16.5">
      <c r="A83" s="146"/>
      <c r="B83" s="25"/>
      <c r="C83" s="27"/>
      <c r="D83" s="56" t="str">
        <f>IF(AND(LEFT(E83,3)="Chi",E83&lt;&gt;""),"PC2025/"&amp;TEXT(COUNTIF($E$11:E83,"Chi*"),"00"),"")</f>
        <v/>
      </c>
      <c r="E83" s="99" t="s">
        <v>251</v>
      </c>
      <c r="F83" s="24">
        <f>SUM(F11:F82)</f>
        <v>50145250</v>
      </c>
      <c r="G83" s="24">
        <f>SUM(G11:G82)</f>
        <v>52017000</v>
      </c>
      <c r="H83" s="23"/>
      <c r="I83" s="17"/>
    </row>
    <row r="84" spans="1:11" ht="15.75">
      <c r="A84" s="2"/>
      <c r="B84" s="2"/>
      <c r="C84" s="98"/>
      <c r="D84" s="98"/>
      <c r="E84" s="99" t="s">
        <v>176</v>
      </c>
      <c r="F84" s="24"/>
      <c r="G84" s="24"/>
      <c r="H84" s="24">
        <f>H10+F83-G83</f>
        <v>438010</v>
      </c>
      <c r="I84" s="2"/>
    </row>
    <row r="85" spans="1:11" ht="9.75" customHeight="1"/>
    <row r="86" spans="1:11" ht="15.75">
      <c r="B86" s="31"/>
      <c r="C86" s="31"/>
      <c r="D86" s="31"/>
      <c r="E86" s="31"/>
      <c r="F86" s="178" t="s">
        <v>549</v>
      </c>
      <c r="G86" s="178"/>
      <c r="H86" s="178"/>
      <c r="I86" s="178"/>
    </row>
    <row r="87" spans="1:11" ht="15.75">
      <c r="B87" s="31"/>
      <c r="C87" s="31"/>
      <c r="D87" s="31"/>
      <c r="E87" s="31"/>
      <c r="F87" s="178" t="s">
        <v>101</v>
      </c>
      <c r="G87" s="178"/>
      <c r="H87" s="178"/>
      <c r="I87" s="178"/>
    </row>
    <row r="88" spans="1:11" ht="15.75">
      <c r="B88" s="178" t="s">
        <v>77</v>
      </c>
      <c r="C88" s="178"/>
      <c r="D88" s="178"/>
      <c r="E88" s="32" t="s">
        <v>78</v>
      </c>
      <c r="F88" s="172" t="s">
        <v>252</v>
      </c>
      <c r="G88" s="172"/>
      <c r="H88" s="172"/>
      <c r="I88" s="172"/>
    </row>
    <row r="89" spans="1:11" ht="15.75">
      <c r="B89" s="178" t="s">
        <v>80</v>
      </c>
      <c r="C89" s="178"/>
      <c r="D89" s="178"/>
      <c r="E89" s="32" t="s">
        <v>80</v>
      </c>
      <c r="F89" s="178" t="s">
        <v>81</v>
      </c>
      <c r="G89" s="178"/>
      <c r="H89" s="178"/>
      <c r="I89" s="178"/>
    </row>
    <row r="90" spans="1:11" ht="15.75">
      <c r="B90" s="33"/>
      <c r="C90" s="33"/>
      <c r="D90" s="33"/>
      <c r="E90" s="33"/>
      <c r="F90" s="33"/>
      <c r="G90" s="33"/>
      <c r="H90" s="33"/>
    </row>
    <row r="91" spans="1:11" ht="16.5">
      <c r="B91" s="16"/>
      <c r="C91" s="16"/>
      <c r="D91" s="16"/>
      <c r="E91" s="16"/>
      <c r="F91" s="16"/>
      <c r="G91" s="16"/>
      <c r="H91" s="16"/>
    </row>
    <row r="92" spans="1:11" ht="16.5">
      <c r="B92" s="16"/>
      <c r="C92" s="16"/>
      <c r="D92" s="16"/>
      <c r="E92" s="16"/>
      <c r="F92" s="16"/>
      <c r="G92" s="16"/>
      <c r="H92" s="16"/>
    </row>
    <row r="93" spans="1:11" ht="16.5">
      <c r="B93" s="177" t="s">
        <v>344</v>
      </c>
      <c r="C93" s="177"/>
      <c r="D93" s="177"/>
      <c r="E93" s="62" t="s">
        <v>344</v>
      </c>
      <c r="F93" s="177" t="s">
        <v>345</v>
      </c>
      <c r="G93" s="177"/>
      <c r="H93" s="177"/>
      <c r="I93" s="177"/>
    </row>
    <row r="94" spans="1:11" ht="16.5">
      <c r="B94" s="16"/>
      <c r="C94" s="16"/>
      <c r="D94" s="16"/>
      <c r="E94" s="16"/>
      <c r="F94" s="16"/>
      <c r="G94" s="16"/>
      <c r="H94" s="16"/>
    </row>
    <row r="97" spans="7:7">
      <c r="G97" s="73"/>
    </row>
    <row r="98" spans="7:7">
      <c r="G98" s="73"/>
    </row>
  </sheetData>
  <autoFilter ref="C8:D84" xr:uid="{00000000-0009-0000-0000-00000C000000}"/>
  <mergeCells count="16">
    <mergeCell ref="B4:I4"/>
    <mergeCell ref="B5:I5"/>
    <mergeCell ref="A7:A8"/>
    <mergeCell ref="B7:B8"/>
    <mergeCell ref="C7:D7"/>
    <mergeCell ref="E7:E8"/>
    <mergeCell ref="F7:H7"/>
    <mergeCell ref="I7:I8"/>
    <mergeCell ref="B93:D93"/>
    <mergeCell ref="F93:I93"/>
    <mergeCell ref="F86:I86"/>
    <mergeCell ref="F87:I87"/>
    <mergeCell ref="B88:D88"/>
    <mergeCell ref="F88:I88"/>
    <mergeCell ref="B89:D89"/>
    <mergeCell ref="F89:I89"/>
  </mergeCells>
  <pageMargins left="0.31496062992125984" right="0.19685039370078741" top="0.19685039370078741" bottom="0.19685039370078741" header="0.16" footer="0.19685039370078741"/>
  <pageSetup paperSize="9" scale="57" fitToHeight="0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L89"/>
  <sheetViews>
    <sheetView topLeftCell="A42" workbookViewId="0">
      <selection activeCell="G14" sqref="G14:I67"/>
    </sheetView>
  </sheetViews>
  <sheetFormatPr defaultColWidth="9.140625" defaultRowHeight="15"/>
  <cols>
    <col min="1" max="1" width="12.28515625" style="34" customWidth="1"/>
    <col min="2" max="2" width="15" style="34" customWidth="1"/>
    <col min="3" max="3" width="12" style="145" customWidth="1"/>
    <col min="4" max="6" width="14.28515625" style="34" customWidth="1"/>
    <col min="7" max="9" width="14.42578125" style="34" customWidth="1"/>
    <col min="10" max="10" width="9.140625" style="34"/>
    <col min="11" max="11" width="17.140625" style="34" customWidth="1"/>
    <col min="12" max="12" width="18.5703125" style="34" customWidth="1"/>
    <col min="13" max="256" width="9.140625" style="34"/>
    <col min="257" max="257" width="11.42578125" style="34" customWidth="1"/>
    <col min="258" max="258" width="11.85546875" style="34" customWidth="1"/>
    <col min="259" max="261" width="14.140625" style="34" customWidth="1"/>
    <col min="262" max="263" width="15.5703125" style="34" customWidth="1"/>
    <col min="264" max="264" width="14.85546875" style="34" customWidth="1"/>
    <col min="265" max="512" width="9.140625" style="34"/>
    <col min="513" max="513" width="11.42578125" style="34" customWidth="1"/>
    <col min="514" max="514" width="11.85546875" style="34" customWidth="1"/>
    <col min="515" max="517" width="14.140625" style="34" customWidth="1"/>
    <col min="518" max="519" width="15.5703125" style="34" customWidth="1"/>
    <col min="520" max="520" width="14.85546875" style="34" customWidth="1"/>
    <col min="521" max="768" width="9.140625" style="34"/>
    <col min="769" max="769" width="11.42578125" style="34" customWidth="1"/>
    <col min="770" max="770" width="11.85546875" style="34" customWidth="1"/>
    <col min="771" max="773" width="14.140625" style="34" customWidth="1"/>
    <col min="774" max="775" width="15.5703125" style="34" customWidth="1"/>
    <col min="776" max="776" width="14.85546875" style="34" customWidth="1"/>
    <col min="777" max="1024" width="9.140625" style="34"/>
    <col min="1025" max="1025" width="11.42578125" style="34" customWidth="1"/>
    <col min="1026" max="1026" width="11.85546875" style="34" customWidth="1"/>
    <col min="1027" max="1029" width="14.140625" style="34" customWidth="1"/>
    <col min="1030" max="1031" width="15.5703125" style="34" customWidth="1"/>
    <col min="1032" max="1032" width="14.85546875" style="34" customWidth="1"/>
    <col min="1033" max="1280" width="9.140625" style="34"/>
    <col min="1281" max="1281" width="11.42578125" style="34" customWidth="1"/>
    <col min="1282" max="1282" width="11.85546875" style="34" customWidth="1"/>
    <col min="1283" max="1285" width="14.140625" style="34" customWidth="1"/>
    <col min="1286" max="1287" width="15.5703125" style="34" customWidth="1"/>
    <col min="1288" max="1288" width="14.85546875" style="34" customWidth="1"/>
    <col min="1289" max="1536" width="9.140625" style="34"/>
    <col min="1537" max="1537" width="11.42578125" style="34" customWidth="1"/>
    <col min="1538" max="1538" width="11.85546875" style="34" customWidth="1"/>
    <col min="1539" max="1541" width="14.140625" style="34" customWidth="1"/>
    <col min="1542" max="1543" width="15.5703125" style="34" customWidth="1"/>
    <col min="1544" max="1544" width="14.85546875" style="34" customWidth="1"/>
    <col min="1545" max="1792" width="9.140625" style="34"/>
    <col min="1793" max="1793" width="11.42578125" style="34" customWidth="1"/>
    <col min="1794" max="1794" width="11.85546875" style="34" customWidth="1"/>
    <col min="1795" max="1797" width="14.140625" style="34" customWidth="1"/>
    <col min="1798" max="1799" width="15.5703125" style="34" customWidth="1"/>
    <col min="1800" max="1800" width="14.85546875" style="34" customWidth="1"/>
    <col min="1801" max="2048" width="9.140625" style="34"/>
    <col min="2049" max="2049" width="11.42578125" style="34" customWidth="1"/>
    <col min="2050" max="2050" width="11.85546875" style="34" customWidth="1"/>
    <col min="2051" max="2053" width="14.140625" style="34" customWidth="1"/>
    <col min="2054" max="2055" width="15.5703125" style="34" customWidth="1"/>
    <col min="2056" max="2056" width="14.85546875" style="34" customWidth="1"/>
    <col min="2057" max="2304" width="9.140625" style="34"/>
    <col min="2305" max="2305" width="11.42578125" style="34" customWidth="1"/>
    <col min="2306" max="2306" width="11.85546875" style="34" customWidth="1"/>
    <col min="2307" max="2309" width="14.140625" style="34" customWidth="1"/>
    <col min="2310" max="2311" width="15.5703125" style="34" customWidth="1"/>
    <col min="2312" max="2312" width="14.85546875" style="34" customWidth="1"/>
    <col min="2313" max="2560" width="9.140625" style="34"/>
    <col min="2561" max="2561" width="11.42578125" style="34" customWidth="1"/>
    <col min="2562" max="2562" width="11.85546875" style="34" customWidth="1"/>
    <col min="2563" max="2565" width="14.140625" style="34" customWidth="1"/>
    <col min="2566" max="2567" width="15.5703125" style="34" customWidth="1"/>
    <col min="2568" max="2568" width="14.85546875" style="34" customWidth="1"/>
    <col min="2569" max="2816" width="9.140625" style="34"/>
    <col min="2817" max="2817" width="11.42578125" style="34" customWidth="1"/>
    <col min="2818" max="2818" width="11.85546875" style="34" customWidth="1"/>
    <col min="2819" max="2821" width="14.140625" style="34" customWidth="1"/>
    <col min="2822" max="2823" width="15.5703125" style="34" customWidth="1"/>
    <col min="2824" max="2824" width="14.85546875" style="34" customWidth="1"/>
    <col min="2825" max="3072" width="9.140625" style="34"/>
    <col min="3073" max="3073" width="11.42578125" style="34" customWidth="1"/>
    <col min="3074" max="3074" width="11.85546875" style="34" customWidth="1"/>
    <col min="3075" max="3077" width="14.140625" style="34" customWidth="1"/>
    <col min="3078" max="3079" width="15.5703125" style="34" customWidth="1"/>
    <col min="3080" max="3080" width="14.85546875" style="34" customWidth="1"/>
    <col min="3081" max="3328" width="9.140625" style="34"/>
    <col min="3329" max="3329" width="11.42578125" style="34" customWidth="1"/>
    <col min="3330" max="3330" width="11.85546875" style="34" customWidth="1"/>
    <col min="3331" max="3333" width="14.140625" style="34" customWidth="1"/>
    <col min="3334" max="3335" width="15.5703125" style="34" customWidth="1"/>
    <col min="3336" max="3336" width="14.85546875" style="34" customWidth="1"/>
    <col min="3337" max="3584" width="9.140625" style="34"/>
    <col min="3585" max="3585" width="11.42578125" style="34" customWidth="1"/>
    <col min="3586" max="3586" width="11.85546875" style="34" customWidth="1"/>
    <col min="3587" max="3589" width="14.140625" style="34" customWidth="1"/>
    <col min="3590" max="3591" width="15.5703125" style="34" customWidth="1"/>
    <col min="3592" max="3592" width="14.85546875" style="34" customWidth="1"/>
    <col min="3593" max="3840" width="9.140625" style="34"/>
    <col min="3841" max="3841" width="11.42578125" style="34" customWidth="1"/>
    <col min="3842" max="3842" width="11.85546875" style="34" customWidth="1"/>
    <col min="3843" max="3845" width="14.140625" style="34" customWidth="1"/>
    <col min="3846" max="3847" width="15.5703125" style="34" customWidth="1"/>
    <col min="3848" max="3848" width="14.85546875" style="34" customWidth="1"/>
    <col min="3849" max="4096" width="9.140625" style="34"/>
    <col min="4097" max="4097" width="11.42578125" style="34" customWidth="1"/>
    <col min="4098" max="4098" width="11.85546875" style="34" customWidth="1"/>
    <col min="4099" max="4101" width="14.140625" style="34" customWidth="1"/>
    <col min="4102" max="4103" width="15.5703125" style="34" customWidth="1"/>
    <col min="4104" max="4104" width="14.85546875" style="34" customWidth="1"/>
    <col min="4105" max="4352" width="9.140625" style="34"/>
    <col min="4353" max="4353" width="11.42578125" style="34" customWidth="1"/>
    <col min="4354" max="4354" width="11.85546875" style="34" customWidth="1"/>
    <col min="4355" max="4357" width="14.140625" style="34" customWidth="1"/>
    <col min="4358" max="4359" width="15.5703125" style="34" customWidth="1"/>
    <col min="4360" max="4360" width="14.85546875" style="34" customWidth="1"/>
    <col min="4361" max="4608" width="9.140625" style="34"/>
    <col min="4609" max="4609" width="11.42578125" style="34" customWidth="1"/>
    <col min="4610" max="4610" width="11.85546875" style="34" customWidth="1"/>
    <col min="4611" max="4613" width="14.140625" style="34" customWidth="1"/>
    <col min="4614" max="4615" width="15.5703125" style="34" customWidth="1"/>
    <col min="4616" max="4616" width="14.85546875" style="34" customWidth="1"/>
    <col min="4617" max="4864" width="9.140625" style="34"/>
    <col min="4865" max="4865" width="11.42578125" style="34" customWidth="1"/>
    <col min="4866" max="4866" width="11.85546875" style="34" customWidth="1"/>
    <col min="4867" max="4869" width="14.140625" style="34" customWidth="1"/>
    <col min="4870" max="4871" width="15.5703125" style="34" customWidth="1"/>
    <col min="4872" max="4872" width="14.85546875" style="34" customWidth="1"/>
    <col min="4873" max="5120" width="9.140625" style="34"/>
    <col min="5121" max="5121" width="11.42578125" style="34" customWidth="1"/>
    <col min="5122" max="5122" width="11.85546875" style="34" customWidth="1"/>
    <col min="5123" max="5125" width="14.140625" style="34" customWidth="1"/>
    <col min="5126" max="5127" width="15.5703125" style="34" customWidth="1"/>
    <col min="5128" max="5128" width="14.85546875" style="34" customWidth="1"/>
    <col min="5129" max="5376" width="9.140625" style="34"/>
    <col min="5377" max="5377" width="11.42578125" style="34" customWidth="1"/>
    <col min="5378" max="5378" width="11.85546875" style="34" customWidth="1"/>
    <col min="5379" max="5381" width="14.140625" style="34" customWidth="1"/>
    <col min="5382" max="5383" width="15.5703125" style="34" customWidth="1"/>
    <col min="5384" max="5384" width="14.85546875" style="34" customWidth="1"/>
    <col min="5385" max="5632" width="9.140625" style="34"/>
    <col min="5633" max="5633" width="11.42578125" style="34" customWidth="1"/>
    <col min="5634" max="5634" width="11.85546875" style="34" customWidth="1"/>
    <col min="5635" max="5637" width="14.140625" style="34" customWidth="1"/>
    <col min="5638" max="5639" width="15.5703125" style="34" customWidth="1"/>
    <col min="5640" max="5640" width="14.85546875" style="34" customWidth="1"/>
    <col min="5641" max="5888" width="9.140625" style="34"/>
    <col min="5889" max="5889" width="11.42578125" style="34" customWidth="1"/>
    <col min="5890" max="5890" width="11.85546875" style="34" customWidth="1"/>
    <col min="5891" max="5893" width="14.140625" style="34" customWidth="1"/>
    <col min="5894" max="5895" width="15.5703125" style="34" customWidth="1"/>
    <col min="5896" max="5896" width="14.85546875" style="34" customWidth="1"/>
    <col min="5897" max="6144" width="9.140625" style="34"/>
    <col min="6145" max="6145" width="11.42578125" style="34" customWidth="1"/>
    <col min="6146" max="6146" width="11.85546875" style="34" customWidth="1"/>
    <col min="6147" max="6149" width="14.140625" style="34" customWidth="1"/>
    <col min="6150" max="6151" width="15.5703125" style="34" customWidth="1"/>
    <col min="6152" max="6152" width="14.85546875" style="34" customWidth="1"/>
    <col min="6153" max="6400" width="9.140625" style="34"/>
    <col min="6401" max="6401" width="11.42578125" style="34" customWidth="1"/>
    <col min="6402" max="6402" width="11.85546875" style="34" customWidth="1"/>
    <col min="6403" max="6405" width="14.140625" style="34" customWidth="1"/>
    <col min="6406" max="6407" width="15.5703125" style="34" customWidth="1"/>
    <col min="6408" max="6408" width="14.85546875" style="34" customWidth="1"/>
    <col min="6409" max="6656" width="9.140625" style="34"/>
    <col min="6657" max="6657" width="11.42578125" style="34" customWidth="1"/>
    <col min="6658" max="6658" width="11.85546875" style="34" customWidth="1"/>
    <col min="6659" max="6661" width="14.140625" style="34" customWidth="1"/>
    <col min="6662" max="6663" width="15.5703125" style="34" customWidth="1"/>
    <col min="6664" max="6664" width="14.85546875" style="34" customWidth="1"/>
    <col min="6665" max="6912" width="9.140625" style="34"/>
    <col min="6913" max="6913" width="11.42578125" style="34" customWidth="1"/>
    <col min="6914" max="6914" width="11.85546875" style="34" customWidth="1"/>
    <col min="6915" max="6917" width="14.140625" style="34" customWidth="1"/>
    <col min="6918" max="6919" width="15.5703125" style="34" customWidth="1"/>
    <col min="6920" max="6920" width="14.85546875" style="34" customWidth="1"/>
    <col min="6921" max="7168" width="9.140625" style="34"/>
    <col min="7169" max="7169" width="11.42578125" style="34" customWidth="1"/>
    <col min="7170" max="7170" width="11.85546875" style="34" customWidth="1"/>
    <col min="7171" max="7173" width="14.140625" style="34" customWidth="1"/>
    <col min="7174" max="7175" width="15.5703125" style="34" customWidth="1"/>
    <col min="7176" max="7176" width="14.85546875" style="34" customWidth="1"/>
    <col min="7177" max="7424" width="9.140625" style="34"/>
    <col min="7425" max="7425" width="11.42578125" style="34" customWidth="1"/>
    <col min="7426" max="7426" width="11.85546875" style="34" customWidth="1"/>
    <col min="7427" max="7429" width="14.140625" style="34" customWidth="1"/>
    <col min="7430" max="7431" width="15.5703125" style="34" customWidth="1"/>
    <col min="7432" max="7432" width="14.85546875" style="34" customWidth="1"/>
    <col min="7433" max="7680" width="9.140625" style="34"/>
    <col min="7681" max="7681" width="11.42578125" style="34" customWidth="1"/>
    <col min="7682" max="7682" width="11.85546875" style="34" customWidth="1"/>
    <col min="7683" max="7685" width="14.140625" style="34" customWidth="1"/>
    <col min="7686" max="7687" width="15.5703125" style="34" customWidth="1"/>
    <col min="7688" max="7688" width="14.85546875" style="34" customWidth="1"/>
    <col min="7689" max="7936" width="9.140625" style="34"/>
    <col min="7937" max="7937" width="11.42578125" style="34" customWidth="1"/>
    <col min="7938" max="7938" width="11.85546875" style="34" customWidth="1"/>
    <col min="7939" max="7941" width="14.140625" style="34" customWidth="1"/>
    <col min="7942" max="7943" width="15.5703125" style="34" customWidth="1"/>
    <col min="7944" max="7944" width="14.85546875" style="34" customWidth="1"/>
    <col min="7945" max="8192" width="9.140625" style="34"/>
    <col min="8193" max="8193" width="11.42578125" style="34" customWidth="1"/>
    <col min="8194" max="8194" width="11.85546875" style="34" customWidth="1"/>
    <col min="8195" max="8197" width="14.140625" style="34" customWidth="1"/>
    <col min="8198" max="8199" width="15.5703125" style="34" customWidth="1"/>
    <col min="8200" max="8200" width="14.85546875" style="34" customWidth="1"/>
    <col min="8201" max="8448" width="9.140625" style="34"/>
    <col min="8449" max="8449" width="11.42578125" style="34" customWidth="1"/>
    <col min="8450" max="8450" width="11.85546875" style="34" customWidth="1"/>
    <col min="8451" max="8453" width="14.140625" style="34" customWidth="1"/>
    <col min="8454" max="8455" width="15.5703125" style="34" customWidth="1"/>
    <col min="8456" max="8456" width="14.85546875" style="34" customWidth="1"/>
    <col min="8457" max="8704" width="9.140625" style="34"/>
    <col min="8705" max="8705" width="11.42578125" style="34" customWidth="1"/>
    <col min="8706" max="8706" width="11.85546875" style="34" customWidth="1"/>
    <col min="8707" max="8709" width="14.140625" style="34" customWidth="1"/>
    <col min="8710" max="8711" width="15.5703125" style="34" customWidth="1"/>
    <col min="8712" max="8712" width="14.85546875" style="34" customWidth="1"/>
    <col min="8713" max="8960" width="9.140625" style="34"/>
    <col min="8961" max="8961" width="11.42578125" style="34" customWidth="1"/>
    <col min="8962" max="8962" width="11.85546875" style="34" customWidth="1"/>
    <col min="8963" max="8965" width="14.140625" style="34" customWidth="1"/>
    <col min="8966" max="8967" width="15.5703125" style="34" customWidth="1"/>
    <col min="8968" max="8968" width="14.85546875" style="34" customWidth="1"/>
    <col min="8969" max="9216" width="9.140625" style="34"/>
    <col min="9217" max="9217" width="11.42578125" style="34" customWidth="1"/>
    <col min="9218" max="9218" width="11.85546875" style="34" customWidth="1"/>
    <col min="9219" max="9221" width="14.140625" style="34" customWidth="1"/>
    <col min="9222" max="9223" width="15.5703125" style="34" customWidth="1"/>
    <col min="9224" max="9224" width="14.85546875" style="34" customWidth="1"/>
    <col min="9225" max="9472" width="9.140625" style="34"/>
    <col min="9473" max="9473" width="11.42578125" style="34" customWidth="1"/>
    <col min="9474" max="9474" width="11.85546875" style="34" customWidth="1"/>
    <col min="9475" max="9477" width="14.140625" style="34" customWidth="1"/>
    <col min="9478" max="9479" width="15.5703125" style="34" customWidth="1"/>
    <col min="9480" max="9480" width="14.85546875" style="34" customWidth="1"/>
    <col min="9481" max="9728" width="9.140625" style="34"/>
    <col min="9729" max="9729" width="11.42578125" style="34" customWidth="1"/>
    <col min="9730" max="9730" width="11.85546875" style="34" customWidth="1"/>
    <col min="9731" max="9733" width="14.140625" style="34" customWidth="1"/>
    <col min="9734" max="9735" width="15.5703125" style="34" customWidth="1"/>
    <col min="9736" max="9736" width="14.85546875" style="34" customWidth="1"/>
    <col min="9737" max="9984" width="9.140625" style="34"/>
    <col min="9985" max="9985" width="11.42578125" style="34" customWidth="1"/>
    <col min="9986" max="9986" width="11.85546875" style="34" customWidth="1"/>
    <col min="9987" max="9989" width="14.140625" style="34" customWidth="1"/>
    <col min="9990" max="9991" width="15.5703125" style="34" customWidth="1"/>
    <col min="9992" max="9992" width="14.85546875" style="34" customWidth="1"/>
    <col min="9993" max="10240" width="9.140625" style="34"/>
    <col min="10241" max="10241" width="11.42578125" style="34" customWidth="1"/>
    <col min="10242" max="10242" width="11.85546875" style="34" customWidth="1"/>
    <col min="10243" max="10245" width="14.140625" style="34" customWidth="1"/>
    <col min="10246" max="10247" width="15.5703125" style="34" customWidth="1"/>
    <col min="10248" max="10248" width="14.85546875" style="34" customWidth="1"/>
    <col min="10249" max="10496" width="9.140625" style="34"/>
    <col min="10497" max="10497" width="11.42578125" style="34" customWidth="1"/>
    <col min="10498" max="10498" width="11.85546875" style="34" customWidth="1"/>
    <col min="10499" max="10501" width="14.140625" style="34" customWidth="1"/>
    <col min="10502" max="10503" width="15.5703125" style="34" customWidth="1"/>
    <col min="10504" max="10504" width="14.85546875" style="34" customWidth="1"/>
    <col min="10505" max="10752" width="9.140625" style="34"/>
    <col min="10753" max="10753" width="11.42578125" style="34" customWidth="1"/>
    <col min="10754" max="10754" width="11.85546875" style="34" customWidth="1"/>
    <col min="10755" max="10757" width="14.140625" style="34" customWidth="1"/>
    <col min="10758" max="10759" width="15.5703125" style="34" customWidth="1"/>
    <col min="10760" max="10760" width="14.85546875" style="34" customWidth="1"/>
    <col min="10761" max="11008" width="9.140625" style="34"/>
    <col min="11009" max="11009" width="11.42578125" style="34" customWidth="1"/>
    <col min="11010" max="11010" width="11.85546875" style="34" customWidth="1"/>
    <col min="11011" max="11013" width="14.140625" style="34" customWidth="1"/>
    <col min="11014" max="11015" width="15.5703125" style="34" customWidth="1"/>
    <col min="11016" max="11016" width="14.85546875" style="34" customWidth="1"/>
    <col min="11017" max="11264" width="9.140625" style="34"/>
    <col min="11265" max="11265" width="11.42578125" style="34" customWidth="1"/>
    <col min="11266" max="11266" width="11.85546875" style="34" customWidth="1"/>
    <col min="11267" max="11269" width="14.140625" style="34" customWidth="1"/>
    <col min="11270" max="11271" width="15.5703125" style="34" customWidth="1"/>
    <col min="11272" max="11272" width="14.85546875" style="34" customWidth="1"/>
    <col min="11273" max="11520" width="9.140625" style="34"/>
    <col min="11521" max="11521" width="11.42578125" style="34" customWidth="1"/>
    <col min="11522" max="11522" width="11.85546875" style="34" customWidth="1"/>
    <col min="11523" max="11525" width="14.140625" style="34" customWidth="1"/>
    <col min="11526" max="11527" width="15.5703125" style="34" customWidth="1"/>
    <col min="11528" max="11528" width="14.85546875" style="34" customWidth="1"/>
    <col min="11529" max="11776" width="9.140625" style="34"/>
    <col min="11777" max="11777" width="11.42578125" style="34" customWidth="1"/>
    <col min="11778" max="11778" width="11.85546875" style="34" customWidth="1"/>
    <col min="11779" max="11781" width="14.140625" style="34" customWidth="1"/>
    <col min="11782" max="11783" width="15.5703125" style="34" customWidth="1"/>
    <col min="11784" max="11784" width="14.85546875" style="34" customWidth="1"/>
    <col min="11785" max="12032" width="9.140625" style="34"/>
    <col min="12033" max="12033" width="11.42578125" style="34" customWidth="1"/>
    <col min="12034" max="12034" width="11.85546875" style="34" customWidth="1"/>
    <col min="12035" max="12037" width="14.140625" style="34" customWidth="1"/>
    <col min="12038" max="12039" width="15.5703125" style="34" customWidth="1"/>
    <col min="12040" max="12040" width="14.85546875" style="34" customWidth="1"/>
    <col min="12041" max="12288" width="9.140625" style="34"/>
    <col min="12289" max="12289" width="11.42578125" style="34" customWidth="1"/>
    <col min="12290" max="12290" width="11.85546875" style="34" customWidth="1"/>
    <col min="12291" max="12293" width="14.140625" style="34" customWidth="1"/>
    <col min="12294" max="12295" width="15.5703125" style="34" customWidth="1"/>
    <col min="12296" max="12296" width="14.85546875" style="34" customWidth="1"/>
    <col min="12297" max="12544" width="9.140625" style="34"/>
    <col min="12545" max="12545" width="11.42578125" style="34" customWidth="1"/>
    <col min="12546" max="12546" width="11.85546875" style="34" customWidth="1"/>
    <col min="12547" max="12549" width="14.140625" style="34" customWidth="1"/>
    <col min="12550" max="12551" width="15.5703125" style="34" customWidth="1"/>
    <col min="12552" max="12552" width="14.85546875" style="34" customWidth="1"/>
    <col min="12553" max="12800" width="9.140625" style="34"/>
    <col min="12801" max="12801" width="11.42578125" style="34" customWidth="1"/>
    <col min="12802" max="12802" width="11.85546875" style="34" customWidth="1"/>
    <col min="12803" max="12805" width="14.140625" style="34" customWidth="1"/>
    <col min="12806" max="12807" width="15.5703125" style="34" customWidth="1"/>
    <col min="12808" max="12808" width="14.85546875" style="34" customWidth="1"/>
    <col min="12809" max="13056" width="9.140625" style="34"/>
    <col min="13057" max="13057" width="11.42578125" style="34" customWidth="1"/>
    <col min="13058" max="13058" width="11.85546875" style="34" customWidth="1"/>
    <col min="13059" max="13061" width="14.140625" style="34" customWidth="1"/>
    <col min="13062" max="13063" width="15.5703125" style="34" customWidth="1"/>
    <col min="13064" max="13064" width="14.85546875" style="34" customWidth="1"/>
    <col min="13065" max="13312" width="9.140625" style="34"/>
    <col min="13313" max="13313" width="11.42578125" style="34" customWidth="1"/>
    <col min="13314" max="13314" width="11.85546875" style="34" customWidth="1"/>
    <col min="13315" max="13317" width="14.140625" style="34" customWidth="1"/>
    <col min="13318" max="13319" width="15.5703125" style="34" customWidth="1"/>
    <col min="13320" max="13320" width="14.85546875" style="34" customWidth="1"/>
    <col min="13321" max="13568" width="9.140625" style="34"/>
    <col min="13569" max="13569" width="11.42578125" style="34" customWidth="1"/>
    <col min="13570" max="13570" width="11.85546875" style="34" customWidth="1"/>
    <col min="13571" max="13573" width="14.140625" style="34" customWidth="1"/>
    <col min="13574" max="13575" width="15.5703125" style="34" customWidth="1"/>
    <col min="13576" max="13576" width="14.85546875" style="34" customWidth="1"/>
    <col min="13577" max="13824" width="9.140625" style="34"/>
    <col min="13825" max="13825" width="11.42578125" style="34" customWidth="1"/>
    <col min="13826" max="13826" width="11.85546875" style="34" customWidth="1"/>
    <col min="13827" max="13829" width="14.140625" style="34" customWidth="1"/>
    <col min="13830" max="13831" width="15.5703125" style="34" customWidth="1"/>
    <col min="13832" max="13832" width="14.85546875" style="34" customWidth="1"/>
    <col min="13833" max="14080" width="9.140625" style="34"/>
    <col min="14081" max="14081" width="11.42578125" style="34" customWidth="1"/>
    <col min="14082" max="14082" width="11.85546875" style="34" customWidth="1"/>
    <col min="14083" max="14085" width="14.140625" style="34" customWidth="1"/>
    <col min="14086" max="14087" width="15.5703125" style="34" customWidth="1"/>
    <col min="14088" max="14088" width="14.85546875" style="34" customWidth="1"/>
    <col min="14089" max="14336" width="9.140625" style="34"/>
    <col min="14337" max="14337" width="11.42578125" style="34" customWidth="1"/>
    <col min="14338" max="14338" width="11.85546875" style="34" customWidth="1"/>
    <col min="14339" max="14341" width="14.140625" style="34" customWidth="1"/>
    <col min="14342" max="14343" width="15.5703125" style="34" customWidth="1"/>
    <col min="14344" max="14344" width="14.85546875" style="34" customWidth="1"/>
    <col min="14345" max="14592" width="9.140625" style="34"/>
    <col min="14593" max="14593" width="11.42578125" style="34" customWidth="1"/>
    <col min="14594" max="14594" width="11.85546875" style="34" customWidth="1"/>
    <col min="14595" max="14597" width="14.140625" style="34" customWidth="1"/>
    <col min="14598" max="14599" width="15.5703125" style="34" customWidth="1"/>
    <col min="14600" max="14600" width="14.85546875" style="34" customWidth="1"/>
    <col min="14601" max="14848" width="9.140625" style="34"/>
    <col min="14849" max="14849" width="11.42578125" style="34" customWidth="1"/>
    <col min="14850" max="14850" width="11.85546875" style="34" customWidth="1"/>
    <col min="14851" max="14853" width="14.140625" style="34" customWidth="1"/>
    <col min="14854" max="14855" width="15.5703125" style="34" customWidth="1"/>
    <col min="14856" max="14856" width="14.85546875" style="34" customWidth="1"/>
    <col min="14857" max="15104" width="9.140625" style="34"/>
    <col min="15105" max="15105" width="11.42578125" style="34" customWidth="1"/>
    <col min="15106" max="15106" width="11.85546875" style="34" customWidth="1"/>
    <col min="15107" max="15109" width="14.140625" style="34" customWidth="1"/>
    <col min="15110" max="15111" width="15.5703125" style="34" customWidth="1"/>
    <col min="15112" max="15112" width="14.85546875" style="34" customWidth="1"/>
    <col min="15113" max="15360" width="9.140625" style="34"/>
    <col min="15361" max="15361" width="11.42578125" style="34" customWidth="1"/>
    <col min="15362" max="15362" width="11.85546875" style="34" customWidth="1"/>
    <col min="15363" max="15365" width="14.140625" style="34" customWidth="1"/>
    <col min="15366" max="15367" width="15.5703125" style="34" customWidth="1"/>
    <col min="15368" max="15368" width="14.85546875" style="34" customWidth="1"/>
    <col min="15369" max="15616" width="9.140625" style="34"/>
    <col min="15617" max="15617" width="11.42578125" style="34" customWidth="1"/>
    <col min="15618" max="15618" width="11.85546875" style="34" customWidth="1"/>
    <col min="15619" max="15621" width="14.140625" style="34" customWidth="1"/>
    <col min="15622" max="15623" width="15.5703125" style="34" customWidth="1"/>
    <col min="15624" max="15624" width="14.85546875" style="34" customWidth="1"/>
    <col min="15625" max="15872" width="9.140625" style="34"/>
    <col min="15873" max="15873" width="11.42578125" style="34" customWidth="1"/>
    <col min="15874" max="15874" width="11.85546875" style="34" customWidth="1"/>
    <col min="15875" max="15877" width="14.140625" style="34" customWidth="1"/>
    <col min="15878" max="15879" width="15.5703125" style="34" customWidth="1"/>
    <col min="15880" max="15880" width="14.85546875" style="34" customWidth="1"/>
    <col min="15881" max="16128" width="9.140625" style="34"/>
    <col min="16129" max="16129" width="11.42578125" style="34" customWidth="1"/>
    <col min="16130" max="16130" width="11.85546875" style="34" customWidth="1"/>
    <col min="16131" max="16133" width="14.140625" style="34" customWidth="1"/>
    <col min="16134" max="16135" width="15.5703125" style="34" customWidth="1"/>
    <col min="16136" max="16136" width="14.85546875" style="34" customWidth="1"/>
    <col min="16137" max="16384" width="9.140625" style="34"/>
  </cols>
  <sheetData>
    <row r="1" spans="1:11" ht="15.75">
      <c r="A1" s="46" t="s">
        <v>550</v>
      </c>
      <c r="B1" s="15"/>
      <c r="C1" s="140"/>
      <c r="D1" s="15"/>
      <c r="E1" s="15"/>
      <c r="H1" s="12" t="s">
        <v>68</v>
      </c>
      <c r="I1" s="15"/>
      <c r="J1" s="15"/>
    </row>
    <row r="2" spans="1:11" ht="15.75">
      <c r="A2" s="46" t="s">
        <v>115</v>
      </c>
      <c r="B2" s="15"/>
      <c r="C2" s="140"/>
      <c r="D2" s="15"/>
      <c r="E2" s="15"/>
      <c r="H2" s="28" t="s">
        <v>88</v>
      </c>
      <c r="I2" s="15"/>
      <c r="J2" s="15"/>
    </row>
    <row r="3" spans="1:11">
      <c r="A3" s="15"/>
      <c r="B3" s="15"/>
      <c r="C3" s="140"/>
      <c r="D3" s="15"/>
      <c r="E3" s="15"/>
      <c r="H3" s="29" t="s">
        <v>87</v>
      </c>
      <c r="I3" s="15"/>
      <c r="J3" s="15"/>
    </row>
    <row r="4" spans="1:11">
      <c r="A4" s="15"/>
      <c r="B4" s="15"/>
      <c r="C4" s="140"/>
      <c r="D4" s="15"/>
      <c r="E4" s="15"/>
      <c r="G4" s="29"/>
      <c r="H4" s="15"/>
      <c r="I4" s="15"/>
      <c r="J4" s="15"/>
    </row>
    <row r="5" spans="1:11" ht="25.15" customHeight="1">
      <c r="A5" s="174" t="s">
        <v>104</v>
      </c>
      <c r="B5" s="174"/>
      <c r="C5" s="174"/>
      <c r="D5" s="174"/>
      <c r="E5" s="174"/>
      <c r="F5" s="174"/>
      <c r="G5" s="174"/>
      <c r="H5" s="174"/>
      <c r="I5" s="174"/>
      <c r="J5" s="174"/>
    </row>
    <row r="6" spans="1:11" ht="18" customHeight="1">
      <c r="A6" s="174" t="s">
        <v>572</v>
      </c>
      <c r="B6" s="174"/>
      <c r="C6" s="174"/>
      <c r="D6" s="174"/>
      <c r="E6" s="174"/>
      <c r="F6" s="174"/>
      <c r="G6" s="174"/>
      <c r="H6" s="174"/>
      <c r="I6" s="174"/>
      <c r="J6" s="174"/>
    </row>
    <row r="7" spans="1:11" ht="13.9" hidden="1" customHeight="1">
      <c r="A7" s="75"/>
      <c r="B7" s="75"/>
      <c r="C7" s="141"/>
      <c r="D7" s="77" t="s">
        <v>216</v>
      </c>
      <c r="E7"/>
      <c r="F7"/>
      <c r="G7"/>
      <c r="H7" s="75"/>
      <c r="I7" s="75"/>
      <c r="J7" s="75"/>
    </row>
    <row r="8" spans="1:11" ht="13.9" hidden="1" customHeight="1">
      <c r="A8" s="75"/>
      <c r="B8" s="75"/>
      <c r="C8" s="141"/>
      <c r="D8" s="77" t="s">
        <v>217</v>
      </c>
      <c r="E8"/>
      <c r="F8"/>
      <c r="H8" s="75"/>
      <c r="I8" s="75"/>
      <c r="J8" s="75"/>
    </row>
    <row r="9" spans="1:11" ht="13.9" hidden="1" customHeight="1">
      <c r="A9" s="75"/>
      <c r="B9" s="75"/>
      <c r="C9" s="141"/>
      <c r="D9" s="77" t="s">
        <v>218</v>
      </c>
      <c r="E9"/>
      <c r="F9"/>
      <c r="H9" s="75"/>
      <c r="I9" s="75"/>
      <c r="J9" s="75"/>
    </row>
    <row r="10" spans="1:11">
      <c r="A10" s="15"/>
      <c r="B10" s="15"/>
      <c r="C10" s="140"/>
      <c r="D10" s="15"/>
      <c r="E10" s="15"/>
      <c r="F10" s="15"/>
      <c r="G10" s="15"/>
      <c r="H10" s="15"/>
      <c r="I10" s="15"/>
      <c r="J10" s="15"/>
    </row>
    <row r="11" spans="1:11">
      <c r="A11" s="199" t="s">
        <v>95</v>
      </c>
      <c r="B11" s="193" t="s">
        <v>96</v>
      </c>
      <c r="C11" s="195"/>
      <c r="D11" s="201" t="s">
        <v>70</v>
      </c>
      <c r="E11" s="202"/>
      <c r="F11" s="202"/>
      <c r="G11" s="205" t="s">
        <v>71</v>
      </c>
      <c r="H11" s="205"/>
      <c r="I11" s="205"/>
      <c r="J11" s="206" t="s">
        <v>92</v>
      </c>
      <c r="K11" s="15"/>
    </row>
    <row r="12" spans="1:11">
      <c r="A12" s="200"/>
      <c r="B12" s="35" t="s">
        <v>89</v>
      </c>
      <c r="C12" s="142" t="s">
        <v>72</v>
      </c>
      <c r="D12" s="203"/>
      <c r="E12" s="204"/>
      <c r="F12" s="204"/>
      <c r="G12" s="35" t="s">
        <v>97</v>
      </c>
      <c r="H12" s="35" t="s">
        <v>98</v>
      </c>
      <c r="I12" s="35" t="s">
        <v>90</v>
      </c>
      <c r="J12" s="207"/>
      <c r="K12" s="15"/>
    </row>
    <row r="13" spans="1:11">
      <c r="A13" s="35" t="s">
        <v>83</v>
      </c>
      <c r="B13" s="35" t="s">
        <v>84</v>
      </c>
      <c r="C13" s="142" t="s">
        <v>85</v>
      </c>
      <c r="D13" s="193" t="s">
        <v>99</v>
      </c>
      <c r="E13" s="194"/>
      <c r="F13" s="195"/>
      <c r="G13" s="35">
        <v>1</v>
      </c>
      <c r="H13" s="35">
        <v>2</v>
      </c>
      <c r="I13" s="35">
        <v>3</v>
      </c>
      <c r="J13" s="35" t="s">
        <v>86</v>
      </c>
      <c r="K13" s="15"/>
    </row>
    <row r="14" spans="1:11" customFormat="1" ht="16.5">
      <c r="A14" s="20"/>
      <c r="B14" s="20"/>
      <c r="C14" s="76"/>
      <c r="D14" s="196" t="s">
        <v>94</v>
      </c>
      <c r="E14" s="197"/>
      <c r="F14" s="198"/>
      <c r="G14" s="19"/>
      <c r="H14" s="17"/>
      <c r="I14" s="136">
        <v>4041874</v>
      </c>
      <c r="J14" s="2"/>
    </row>
    <row r="15" spans="1:11" s="85" customFormat="1" ht="15.75">
      <c r="A15" s="90"/>
      <c r="B15" s="82" t="s">
        <v>452</v>
      </c>
      <c r="C15" s="90">
        <v>45674</v>
      </c>
      <c r="D15" s="228" t="s">
        <v>397</v>
      </c>
      <c r="E15" s="229"/>
      <c r="F15" s="230"/>
      <c r="G15" s="84"/>
      <c r="H15" s="84">
        <v>35000</v>
      </c>
      <c r="I15" s="84">
        <f t="shared" ref="I15:I63" si="0">+I14+G15-H15</f>
        <v>4006874</v>
      </c>
      <c r="J15" s="81"/>
    </row>
    <row r="16" spans="1:11" s="85" customFormat="1" ht="15.75">
      <c r="A16" s="90"/>
      <c r="B16" s="82" t="s">
        <v>453</v>
      </c>
      <c r="C16" s="90">
        <v>45674</v>
      </c>
      <c r="D16" s="228" t="s">
        <v>398</v>
      </c>
      <c r="E16" s="229"/>
      <c r="F16" s="230"/>
      <c r="G16" s="84"/>
      <c r="H16" s="84">
        <v>3500</v>
      </c>
      <c r="I16" s="84">
        <f t="shared" si="0"/>
        <v>4003374</v>
      </c>
      <c r="J16" s="81"/>
    </row>
    <row r="17" spans="1:11" ht="30" customHeight="1">
      <c r="A17" s="76"/>
      <c r="B17" s="37" t="s">
        <v>454</v>
      </c>
      <c r="C17" s="90">
        <v>45680</v>
      </c>
      <c r="D17" s="243" t="s">
        <v>399</v>
      </c>
      <c r="E17" s="244"/>
      <c r="F17" s="245"/>
      <c r="G17" s="38">
        <v>4122600</v>
      </c>
      <c r="H17" s="38"/>
      <c r="I17" s="84">
        <f t="shared" si="0"/>
        <v>8125974</v>
      </c>
      <c r="J17" s="39"/>
    </row>
    <row r="18" spans="1:11" ht="15.75">
      <c r="A18" s="76"/>
      <c r="B18" s="37" t="s">
        <v>455</v>
      </c>
      <c r="C18" s="90">
        <v>45688</v>
      </c>
      <c r="D18" s="187" t="s">
        <v>180</v>
      </c>
      <c r="E18" s="188"/>
      <c r="F18" s="234"/>
      <c r="G18" s="38">
        <v>864</v>
      </c>
      <c r="H18" s="38"/>
      <c r="I18" s="84">
        <f t="shared" si="0"/>
        <v>8126838</v>
      </c>
      <c r="J18" s="39"/>
    </row>
    <row r="19" spans="1:11" ht="15.75">
      <c r="A19" s="76"/>
      <c r="B19" s="37" t="s">
        <v>395</v>
      </c>
      <c r="C19" s="90">
        <v>45691</v>
      </c>
      <c r="D19" s="235" t="s">
        <v>222</v>
      </c>
      <c r="E19" s="236"/>
      <c r="F19" s="237"/>
      <c r="G19" s="132"/>
      <c r="H19" s="132">
        <v>8000000</v>
      </c>
      <c r="I19" s="84">
        <f t="shared" si="0"/>
        <v>126838</v>
      </c>
      <c r="J19" s="39"/>
    </row>
    <row r="20" spans="1:11" s="85" customFormat="1" ht="15.75">
      <c r="A20" s="90"/>
      <c r="B20" s="82" t="s">
        <v>456</v>
      </c>
      <c r="C20" s="90">
        <v>45705</v>
      </c>
      <c r="D20" s="228" t="s">
        <v>412</v>
      </c>
      <c r="E20" s="229"/>
      <c r="F20" s="230"/>
      <c r="G20" s="84"/>
      <c r="H20" s="84">
        <v>35000</v>
      </c>
      <c r="I20" s="84">
        <f t="shared" si="0"/>
        <v>91838</v>
      </c>
      <c r="J20" s="81"/>
    </row>
    <row r="21" spans="1:11" s="85" customFormat="1" ht="15.75">
      <c r="A21" s="90"/>
      <c r="B21" s="82" t="s">
        <v>457</v>
      </c>
      <c r="C21" s="90">
        <v>45705</v>
      </c>
      <c r="D21" s="228" t="s">
        <v>413</v>
      </c>
      <c r="E21" s="229"/>
      <c r="F21" s="230"/>
      <c r="G21" s="84"/>
      <c r="H21" s="84">
        <v>3500</v>
      </c>
      <c r="I21" s="84">
        <f t="shared" si="0"/>
        <v>88338</v>
      </c>
      <c r="J21" s="81"/>
    </row>
    <row r="22" spans="1:11" ht="15.75">
      <c r="A22" s="76"/>
      <c r="B22" s="37" t="s">
        <v>458</v>
      </c>
      <c r="C22" s="90">
        <v>45716</v>
      </c>
      <c r="D22" s="187" t="s">
        <v>180</v>
      </c>
      <c r="E22" s="188"/>
      <c r="F22" s="234"/>
      <c r="G22" s="38">
        <v>149</v>
      </c>
      <c r="H22" s="38"/>
      <c r="I22" s="84">
        <f t="shared" si="0"/>
        <v>88487</v>
      </c>
      <c r="J22" s="39"/>
    </row>
    <row r="23" spans="1:11" ht="31.5" customHeight="1">
      <c r="A23" s="76"/>
      <c r="B23" s="37" t="s">
        <v>459</v>
      </c>
      <c r="C23" s="90">
        <v>45726</v>
      </c>
      <c r="D23" s="243" t="s">
        <v>407</v>
      </c>
      <c r="E23" s="244"/>
      <c r="F23" s="245"/>
      <c r="G23" s="38">
        <v>8245200</v>
      </c>
      <c r="H23" s="38"/>
      <c r="I23" s="84">
        <f t="shared" si="0"/>
        <v>8333687</v>
      </c>
      <c r="J23" s="39"/>
      <c r="K23" s="152" t="s">
        <v>415</v>
      </c>
    </row>
    <row r="24" spans="1:11" ht="15.75">
      <c r="A24" s="76"/>
      <c r="B24" s="82" t="s">
        <v>460</v>
      </c>
      <c r="C24" s="90">
        <v>45727</v>
      </c>
      <c r="D24" s="228" t="s">
        <v>408</v>
      </c>
      <c r="E24" s="229"/>
      <c r="F24" s="230"/>
      <c r="G24" s="138"/>
      <c r="H24" s="138">
        <v>824520</v>
      </c>
      <c r="I24" s="139">
        <f t="shared" si="0"/>
        <v>7509167</v>
      </c>
      <c r="J24" s="39"/>
    </row>
    <row r="25" spans="1:11" ht="15.75">
      <c r="A25" s="76"/>
      <c r="B25" s="82" t="s">
        <v>461</v>
      </c>
      <c r="C25" s="90">
        <v>45727</v>
      </c>
      <c r="D25" s="228" t="s">
        <v>409</v>
      </c>
      <c r="E25" s="229"/>
      <c r="F25" s="230"/>
      <c r="G25" s="138"/>
      <c r="H25" s="138">
        <v>792660</v>
      </c>
      <c r="I25" s="139">
        <f t="shared" si="0"/>
        <v>6716507</v>
      </c>
      <c r="J25" s="39"/>
    </row>
    <row r="26" spans="1:11" ht="15.75">
      <c r="A26" s="76"/>
      <c r="B26" s="121" t="s">
        <v>410</v>
      </c>
      <c r="C26" s="90">
        <v>45727</v>
      </c>
      <c r="D26" s="235" t="s">
        <v>222</v>
      </c>
      <c r="E26" s="236"/>
      <c r="F26" s="237"/>
      <c r="G26" s="132"/>
      <c r="H26" s="132">
        <v>6000000</v>
      </c>
      <c r="I26" s="139">
        <f t="shared" si="0"/>
        <v>716507</v>
      </c>
      <c r="J26" s="39"/>
    </row>
    <row r="27" spans="1:11" s="85" customFormat="1" ht="15.75">
      <c r="A27" s="90"/>
      <c r="B27" s="82" t="s">
        <v>462</v>
      </c>
      <c r="C27" s="90">
        <v>45733</v>
      </c>
      <c r="D27" s="228" t="s">
        <v>411</v>
      </c>
      <c r="E27" s="229"/>
      <c r="F27" s="230"/>
      <c r="G27" s="84"/>
      <c r="H27" s="84">
        <v>35000</v>
      </c>
      <c r="I27" s="139">
        <f t="shared" si="0"/>
        <v>681507</v>
      </c>
      <c r="J27" s="81"/>
    </row>
    <row r="28" spans="1:11" s="85" customFormat="1" ht="15.75">
      <c r="A28" s="90"/>
      <c r="B28" s="82" t="s">
        <v>463</v>
      </c>
      <c r="C28" s="90">
        <v>45733</v>
      </c>
      <c r="D28" s="228" t="s">
        <v>414</v>
      </c>
      <c r="E28" s="229"/>
      <c r="F28" s="230"/>
      <c r="G28" s="84"/>
      <c r="H28" s="84">
        <v>3500</v>
      </c>
      <c r="I28" s="139">
        <f t="shared" si="0"/>
        <v>678007</v>
      </c>
      <c r="J28" s="81"/>
    </row>
    <row r="29" spans="1:11" ht="15.75">
      <c r="A29" s="76"/>
      <c r="B29" s="37" t="s">
        <v>464</v>
      </c>
      <c r="C29" s="90">
        <v>45747</v>
      </c>
      <c r="D29" s="187" t="s">
        <v>180</v>
      </c>
      <c r="E29" s="188"/>
      <c r="F29" s="234"/>
      <c r="G29" s="38">
        <v>126</v>
      </c>
      <c r="H29" s="38"/>
      <c r="I29" s="139">
        <f t="shared" si="0"/>
        <v>678133</v>
      </c>
      <c r="J29" s="39"/>
    </row>
    <row r="30" spans="1:11" s="85" customFormat="1" ht="15.75">
      <c r="A30" s="90"/>
      <c r="B30" s="82" t="s">
        <v>465</v>
      </c>
      <c r="C30" s="90">
        <v>45764</v>
      </c>
      <c r="D30" s="228" t="s">
        <v>416</v>
      </c>
      <c r="E30" s="229"/>
      <c r="F30" s="230"/>
      <c r="G30" s="84"/>
      <c r="H30" s="84">
        <v>35000</v>
      </c>
      <c r="I30" s="139">
        <f t="shared" si="0"/>
        <v>643133</v>
      </c>
      <c r="J30" s="81"/>
    </row>
    <row r="31" spans="1:11" s="85" customFormat="1" ht="15.75">
      <c r="A31" s="90"/>
      <c r="B31" s="82" t="s">
        <v>466</v>
      </c>
      <c r="C31" s="90">
        <v>45764</v>
      </c>
      <c r="D31" s="228" t="s">
        <v>417</v>
      </c>
      <c r="E31" s="229"/>
      <c r="F31" s="230"/>
      <c r="G31" s="84"/>
      <c r="H31" s="84">
        <v>3500</v>
      </c>
      <c r="I31" s="139">
        <f t="shared" si="0"/>
        <v>639633</v>
      </c>
      <c r="J31" s="81"/>
    </row>
    <row r="32" spans="1:11" ht="32.25" customHeight="1">
      <c r="A32" s="76"/>
      <c r="B32" s="37" t="s">
        <v>467</v>
      </c>
      <c r="C32" s="90">
        <v>45771</v>
      </c>
      <c r="D32" s="243" t="s">
        <v>418</v>
      </c>
      <c r="E32" s="244"/>
      <c r="F32" s="245"/>
      <c r="G32" s="38">
        <v>3963300</v>
      </c>
      <c r="H32" s="38"/>
      <c r="I32" s="139">
        <f t="shared" si="0"/>
        <v>4602933</v>
      </c>
      <c r="J32" s="39"/>
    </row>
    <row r="33" spans="1:10" ht="15.75">
      <c r="A33" s="76"/>
      <c r="B33" s="121" t="s">
        <v>426</v>
      </c>
      <c r="C33" s="90">
        <v>45776</v>
      </c>
      <c r="D33" s="235" t="s">
        <v>222</v>
      </c>
      <c r="E33" s="236"/>
      <c r="F33" s="237"/>
      <c r="G33" s="132"/>
      <c r="H33" s="132">
        <v>3700000</v>
      </c>
      <c r="I33" s="139">
        <f t="shared" si="0"/>
        <v>902933</v>
      </c>
      <c r="J33" s="39"/>
    </row>
    <row r="34" spans="1:10" ht="15.75">
      <c r="A34" s="76"/>
      <c r="B34" s="37" t="s">
        <v>468</v>
      </c>
      <c r="C34" s="90">
        <v>45777</v>
      </c>
      <c r="D34" s="187" t="s">
        <v>180</v>
      </c>
      <c r="E34" s="188"/>
      <c r="F34" s="234"/>
      <c r="G34" s="38">
        <v>219</v>
      </c>
      <c r="H34" s="138"/>
      <c r="I34" s="139">
        <f t="shared" si="0"/>
        <v>903152</v>
      </c>
      <c r="J34" s="39"/>
    </row>
    <row r="35" spans="1:10" ht="15.75">
      <c r="A35" s="76"/>
      <c r="B35" s="82" t="s">
        <v>469</v>
      </c>
      <c r="C35" s="90">
        <v>45782</v>
      </c>
      <c r="D35" s="228" t="s">
        <v>438</v>
      </c>
      <c r="E35" s="229"/>
      <c r="F35" s="230"/>
      <c r="G35" s="138"/>
      <c r="H35" s="138">
        <v>776730</v>
      </c>
      <c r="I35" s="139">
        <f t="shared" si="0"/>
        <v>126422</v>
      </c>
      <c r="J35" s="39"/>
    </row>
    <row r="36" spans="1:10" ht="15.75">
      <c r="A36" s="76"/>
      <c r="B36" s="82" t="s">
        <v>470</v>
      </c>
      <c r="C36" s="90">
        <v>45794</v>
      </c>
      <c r="D36" s="228" t="s">
        <v>439</v>
      </c>
      <c r="E36" s="229"/>
      <c r="F36" s="230"/>
      <c r="G36" s="84"/>
      <c r="H36" s="84">
        <v>35000</v>
      </c>
      <c r="I36" s="139">
        <f t="shared" si="0"/>
        <v>91422</v>
      </c>
      <c r="J36" s="39"/>
    </row>
    <row r="37" spans="1:10" ht="15.75">
      <c r="A37" s="76"/>
      <c r="B37" s="82" t="s">
        <v>471</v>
      </c>
      <c r="C37" s="90">
        <v>45794</v>
      </c>
      <c r="D37" s="228" t="s">
        <v>440</v>
      </c>
      <c r="E37" s="229"/>
      <c r="F37" s="230"/>
      <c r="G37" s="84"/>
      <c r="H37" s="84">
        <v>3500</v>
      </c>
      <c r="I37" s="139">
        <f t="shared" si="0"/>
        <v>87922</v>
      </c>
      <c r="J37" s="39"/>
    </row>
    <row r="38" spans="1:10" ht="28.5" customHeight="1">
      <c r="A38" s="76"/>
      <c r="B38" s="37" t="s">
        <v>472</v>
      </c>
      <c r="C38" s="90">
        <v>45806</v>
      </c>
      <c r="D38" s="243" t="s">
        <v>441</v>
      </c>
      <c r="E38" s="244"/>
      <c r="F38" s="245"/>
      <c r="G38" s="38">
        <v>3883650</v>
      </c>
      <c r="H38" s="138"/>
      <c r="I38" s="139">
        <f t="shared" si="0"/>
        <v>3971572</v>
      </c>
      <c r="J38" s="39"/>
    </row>
    <row r="39" spans="1:10" ht="15.75">
      <c r="A39" s="76"/>
      <c r="B39" s="37" t="s">
        <v>473</v>
      </c>
      <c r="C39" s="90">
        <v>45808</v>
      </c>
      <c r="D39" s="187" t="s">
        <v>180</v>
      </c>
      <c r="E39" s="188"/>
      <c r="F39" s="234"/>
      <c r="G39" s="138">
        <v>82</v>
      </c>
      <c r="H39" s="138"/>
      <c r="I39" s="139">
        <f t="shared" si="0"/>
        <v>3971654</v>
      </c>
      <c r="J39" s="39"/>
    </row>
    <row r="40" spans="1:10" ht="15.75">
      <c r="A40" s="76"/>
      <c r="B40" s="82" t="s">
        <v>482</v>
      </c>
      <c r="C40" s="90">
        <v>45811</v>
      </c>
      <c r="D40" s="228" t="s">
        <v>442</v>
      </c>
      <c r="E40" s="229"/>
      <c r="F40" s="230"/>
      <c r="G40" s="138"/>
      <c r="H40" s="138">
        <v>776730</v>
      </c>
      <c r="I40" s="139">
        <f t="shared" si="0"/>
        <v>3194924</v>
      </c>
      <c r="J40" s="39"/>
    </row>
    <row r="41" spans="1:10" ht="15.75">
      <c r="A41" s="76"/>
      <c r="B41" s="121" t="s">
        <v>480</v>
      </c>
      <c r="C41" s="90">
        <v>45812</v>
      </c>
      <c r="D41" s="228" t="s">
        <v>222</v>
      </c>
      <c r="E41" s="229"/>
      <c r="F41" s="230"/>
      <c r="G41" s="138"/>
      <c r="H41" s="138">
        <v>3000000</v>
      </c>
      <c r="I41" s="139">
        <f t="shared" si="0"/>
        <v>194924</v>
      </c>
      <c r="J41" s="39"/>
    </row>
    <row r="42" spans="1:10" ht="15.75">
      <c r="A42" s="76"/>
      <c r="B42" s="82" t="s">
        <v>489</v>
      </c>
      <c r="C42" s="90">
        <v>45825</v>
      </c>
      <c r="D42" s="228" t="s">
        <v>491</v>
      </c>
      <c r="E42" s="229"/>
      <c r="F42" s="230"/>
      <c r="G42" s="84"/>
      <c r="H42" s="84">
        <v>35000</v>
      </c>
      <c r="I42" s="139">
        <f t="shared" si="0"/>
        <v>159924</v>
      </c>
      <c r="J42" s="39"/>
    </row>
    <row r="43" spans="1:10" ht="15.75">
      <c r="A43" s="76"/>
      <c r="B43" s="82" t="s">
        <v>490</v>
      </c>
      <c r="C43" s="90">
        <v>45825</v>
      </c>
      <c r="D43" s="228" t="s">
        <v>492</v>
      </c>
      <c r="E43" s="229"/>
      <c r="F43" s="230"/>
      <c r="G43" s="84"/>
      <c r="H43" s="84">
        <v>3500</v>
      </c>
      <c r="I43" s="139">
        <f t="shared" si="0"/>
        <v>156424</v>
      </c>
      <c r="J43" s="39"/>
    </row>
    <row r="44" spans="1:10" ht="15.75">
      <c r="A44" s="76"/>
      <c r="B44" s="37" t="s">
        <v>493</v>
      </c>
      <c r="C44" s="90">
        <v>45838</v>
      </c>
      <c r="D44" s="187" t="s">
        <v>180</v>
      </c>
      <c r="E44" s="188"/>
      <c r="F44" s="234"/>
      <c r="G44" s="138">
        <v>108</v>
      </c>
      <c r="H44" s="138"/>
      <c r="I44" s="139">
        <f t="shared" si="0"/>
        <v>156532</v>
      </c>
      <c r="J44" s="39"/>
    </row>
    <row r="45" spans="1:10" ht="15.75">
      <c r="A45" s="76"/>
      <c r="B45" s="82" t="s">
        <v>494</v>
      </c>
      <c r="C45" s="90">
        <v>45855</v>
      </c>
      <c r="D45" s="228" t="s">
        <v>503</v>
      </c>
      <c r="E45" s="229"/>
      <c r="F45" s="230"/>
      <c r="G45" s="84"/>
      <c r="H45" s="84">
        <v>35000</v>
      </c>
      <c r="I45" s="139">
        <f t="shared" si="0"/>
        <v>121532</v>
      </c>
      <c r="J45" s="39"/>
    </row>
    <row r="46" spans="1:10" ht="15.75">
      <c r="A46" s="76"/>
      <c r="B46" s="82" t="s">
        <v>495</v>
      </c>
      <c r="C46" s="90">
        <v>45855</v>
      </c>
      <c r="D46" s="228" t="s">
        <v>504</v>
      </c>
      <c r="E46" s="229"/>
      <c r="F46" s="230"/>
      <c r="G46" s="84"/>
      <c r="H46" s="84">
        <v>3500</v>
      </c>
      <c r="I46" s="139">
        <f t="shared" si="0"/>
        <v>118032</v>
      </c>
      <c r="J46" s="39"/>
    </row>
    <row r="47" spans="1:10" ht="15.75">
      <c r="A47" s="76"/>
      <c r="B47" s="37" t="s">
        <v>496</v>
      </c>
      <c r="C47" s="90">
        <v>45869</v>
      </c>
      <c r="D47" s="187" t="s">
        <v>180</v>
      </c>
      <c r="E47" s="188"/>
      <c r="F47" s="234"/>
      <c r="G47" s="138">
        <v>24</v>
      </c>
      <c r="H47" s="138"/>
      <c r="I47" s="139">
        <f t="shared" si="0"/>
        <v>118056</v>
      </c>
      <c r="J47" s="39"/>
    </row>
    <row r="48" spans="1:10" ht="15.75">
      <c r="A48" s="76"/>
      <c r="B48" s="82" t="s">
        <v>505</v>
      </c>
      <c r="C48" s="90">
        <v>45886</v>
      </c>
      <c r="D48" s="228" t="s">
        <v>506</v>
      </c>
      <c r="E48" s="229"/>
      <c r="F48" s="230"/>
      <c r="G48" s="84"/>
      <c r="H48" s="84">
        <v>35000</v>
      </c>
      <c r="I48" s="139">
        <f t="shared" si="0"/>
        <v>83056</v>
      </c>
      <c r="J48" s="39"/>
    </row>
    <row r="49" spans="1:10" ht="15.75">
      <c r="A49" s="76"/>
      <c r="B49" s="82" t="s">
        <v>507</v>
      </c>
      <c r="C49" s="90">
        <v>45886</v>
      </c>
      <c r="D49" s="228" t="s">
        <v>508</v>
      </c>
      <c r="E49" s="229"/>
      <c r="F49" s="230"/>
      <c r="G49" s="84"/>
      <c r="H49" s="84">
        <v>3500</v>
      </c>
      <c r="I49" s="139">
        <f t="shared" si="0"/>
        <v>79556</v>
      </c>
      <c r="J49" s="39"/>
    </row>
    <row r="50" spans="1:10" ht="15.75">
      <c r="A50" s="76"/>
      <c r="B50" s="37" t="s">
        <v>509</v>
      </c>
      <c r="C50" s="90">
        <v>45900</v>
      </c>
      <c r="D50" s="187" t="s">
        <v>180</v>
      </c>
      <c r="E50" s="188"/>
      <c r="F50" s="234"/>
      <c r="G50" s="138">
        <v>17</v>
      </c>
      <c r="H50" s="138"/>
      <c r="I50" s="139">
        <f t="shared" si="0"/>
        <v>79573</v>
      </c>
      <c r="J50" s="39"/>
    </row>
    <row r="51" spans="1:10" ht="15.75">
      <c r="A51" s="76"/>
      <c r="B51" s="82" t="s">
        <v>510</v>
      </c>
      <c r="C51" s="90">
        <v>45917</v>
      </c>
      <c r="D51" s="228" t="s">
        <v>511</v>
      </c>
      <c r="E51" s="229"/>
      <c r="F51" s="230"/>
      <c r="G51" s="84"/>
      <c r="H51" s="84">
        <v>35000</v>
      </c>
      <c r="I51" s="139">
        <f t="shared" si="0"/>
        <v>44573</v>
      </c>
      <c r="J51" s="39"/>
    </row>
    <row r="52" spans="1:10" ht="15.75">
      <c r="A52" s="76"/>
      <c r="B52" s="82" t="s">
        <v>512</v>
      </c>
      <c r="C52" s="90">
        <v>45917</v>
      </c>
      <c r="D52" s="228" t="s">
        <v>513</v>
      </c>
      <c r="E52" s="229"/>
      <c r="F52" s="230"/>
      <c r="G52" s="84"/>
      <c r="H52" s="84">
        <v>3500</v>
      </c>
      <c r="I52" s="139">
        <f t="shared" si="0"/>
        <v>41073</v>
      </c>
      <c r="J52" s="39"/>
    </row>
    <row r="53" spans="1:10" ht="28.5" customHeight="1">
      <c r="A53" s="76"/>
      <c r="B53" s="37" t="s">
        <v>518</v>
      </c>
      <c r="C53" s="90">
        <v>45919</v>
      </c>
      <c r="D53" s="243" t="s">
        <v>519</v>
      </c>
      <c r="E53" s="244"/>
      <c r="F53" s="245"/>
      <c r="G53" s="38">
        <v>7767000</v>
      </c>
      <c r="H53" s="138"/>
      <c r="I53" s="139">
        <f t="shared" si="0"/>
        <v>7808073</v>
      </c>
      <c r="J53" s="39"/>
    </row>
    <row r="54" spans="1:10" ht="15.75">
      <c r="A54" s="76"/>
      <c r="B54" s="37" t="s">
        <v>520</v>
      </c>
      <c r="C54" s="155">
        <v>45919</v>
      </c>
      <c r="D54" s="187" t="s">
        <v>521</v>
      </c>
      <c r="E54" s="188"/>
      <c r="F54" s="234"/>
      <c r="G54" s="138"/>
      <c r="H54" s="138">
        <v>776730</v>
      </c>
      <c r="I54" s="138">
        <f t="shared" si="0"/>
        <v>7031343</v>
      </c>
      <c r="J54" s="154"/>
    </row>
    <row r="55" spans="1:10" ht="15.75">
      <c r="A55" s="76"/>
      <c r="B55" s="37" t="s">
        <v>522</v>
      </c>
      <c r="C55" s="155">
        <v>45919</v>
      </c>
      <c r="D55" s="187" t="s">
        <v>523</v>
      </c>
      <c r="E55" s="188"/>
      <c r="F55" s="234"/>
      <c r="G55" s="138"/>
      <c r="H55" s="138">
        <v>792660</v>
      </c>
      <c r="I55" s="138">
        <f t="shared" si="0"/>
        <v>6238683</v>
      </c>
      <c r="J55" s="154"/>
    </row>
    <row r="56" spans="1:10" ht="15.75">
      <c r="A56" s="76"/>
      <c r="B56" s="156" t="s">
        <v>524</v>
      </c>
      <c r="C56" s="155">
        <v>45923</v>
      </c>
      <c r="D56" s="187" t="s">
        <v>222</v>
      </c>
      <c r="E56" s="188"/>
      <c r="F56" s="234"/>
      <c r="G56" s="138"/>
      <c r="H56" s="138">
        <v>6000000</v>
      </c>
      <c r="I56" s="138">
        <f t="shared" si="0"/>
        <v>238683</v>
      </c>
      <c r="J56" s="39"/>
    </row>
    <row r="57" spans="1:10" ht="15.75">
      <c r="A57" s="76"/>
      <c r="B57" s="37" t="s">
        <v>536</v>
      </c>
      <c r="C57" s="90">
        <v>45930</v>
      </c>
      <c r="D57" s="187" t="s">
        <v>180</v>
      </c>
      <c r="E57" s="188"/>
      <c r="F57" s="234"/>
      <c r="G57" s="138">
        <v>154</v>
      </c>
      <c r="H57" s="138"/>
      <c r="I57" s="139">
        <f t="shared" si="0"/>
        <v>238837</v>
      </c>
      <c r="J57" s="39"/>
    </row>
    <row r="58" spans="1:10" ht="15.75">
      <c r="A58" s="76"/>
      <c r="B58" s="82" t="s">
        <v>537</v>
      </c>
      <c r="C58" s="90">
        <v>45947</v>
      </c>
      <c r="D58" s="228" t="s">
        <v>538</v>
      </c>
      <c r="E58" s="229"/>
      <c r="F58" s="230"/>
      <c r="G58" s="84"/>
      <c r="H58" s="84">
        <v>35000</v>
      </c>
      <c r="I58" s="139">
        <f t="shared" si="0"/>
        <v>203837</v>
      </c>
      <c r="J58" s="39"/>
    </row>
    <row r="59" spans="1:10" ht="15.75">
      <c r="A59" s="76"/>
      <c r="B59" s="82" t="s">
        <v>539</v>
      </c>
      <c r="C59" s="90">
        <v>45947</v>
      </c>
      <c r="D59" s="228" t="s">
        <v>540</v>
      </c>
      <c r="E59" s="229"/>
      <c r="F59" s="230"/>
      <c r="G59" s="84"/>
      <c r="H59" s="84">
        <v>3500</v>
      </c>
      <c r="I59" s="139">
        <f t="shared" si="0"/>
        <v>200337</v>
      </c>
      <c r="J59" s="39"/>
    </row>
    <row r="60" spans="1:10" ht="15.75">
      <c r="A60" s="76"/>
      <c r="B60" s="37" t="s">
        <v>541</v>
      </c>
      <c r="C60" s="90">
        <v>45961</v>
      </c>
      <c r="D60" s="187" t="s">
        <v>180</v>
      </c>
      <c r="E60" s="188"/>
      <c r="F60" s="234"/>
      <c r="G60" s="138">
        <v>38</v>
      </c>
      <c r="H60" s="138"/>
      <c r="I60" s="139">
        <f t="shared" si="0"/>
        <v>200375</v>
      </c>
      <c r="J60" s="39"/>
    </row>
    <row r="61" spans="1:10" ht="15.75">
      <c r="A61" s="76"/>
      <c r="B61" s="82" t="s">
        <v>542</v>
      </c>
      <c r="C61" s="90">
        <v>45978</v>
      </c>
      <c r="D61" s="228" t="s">
        <v>565</v>
      </c>
      <c r="E61" s="229"/>
      <c r="F61" s="230"/>
      <c r="G61" s="84"/>
      <c r="H61" s="84">
        <v>35000</v>
      </c>
      <c r="I61" s="139">
        <f t="shared" si="0"/>
        <v>165375</v>
      </c>
      <c r="J61" s="39"/>
    </row>
    <row r="62" spans="1:10" ht="15.75">
      <c r="A62" s="76"/>
      <c r="B62" s="82" t="s">
        <v>543</v>
      </c>
      <c r="C62" s="90">
        <v>45978</v>
      </c>
      <c r="D62" s="228" t="s">
        <v>566</v>
      </c>
      <c r="E62" s="229"/>
      <c r="F62" s="230"/>
      <c r="G62" s="84"/>
      <c r="H62" s="84">
        <v>3500</v>
      </c>
      <c r="I62" s="139">
        <f t="shared" si="0"/>
        <v>161875</v>
      </c>
      <c r="J62" s="39"/>
    </row>
    <row r="63" spans="1:10" ht="15.75">
      <c r="A63" s="76"/>
      <c r="B63" s="37" t="s">
        <v>544</v>
      </c>
      <c r="C63" s="90">
        <v>45991</v>
      </c>
      <c r="D63" s="187" t="s">
        <v>180</v>
      </c>
      <c r="E63" s="188"/>
      <c r="F63" s="234"/>
      <c r="G63" s="138">
        <v>30</v>
      </c>
      <c r="H63" s="138"/>
      <c r="I63" s="139">
        <f t="shared" si="0"/>
        <v>161905</v>
      </c>
      <c r="J63" s="39"/>
    </row>
    <row r="64" spans="1:10" ht="15.75">
      <c r="A64" s="76"/>
      <c r="B64" s="82" t="s">
        <v>569</v>
      </c>
      <c r="C64" s="90">
        <v>46008</v>
      </c>
      <c r="D64" s="228" t="s">
        <v>567</v>
      </c>
      <c r="E64" s="229"/>
      <c r="F64" s="230"/>
      <c r="G64" s="84"/>
      <c r="H64" s="84">
        <v>35000</v>
      </c>
      <c r="I64" s="139">
        <f t="shared" ref="I64:I67" si="1">+I63+G64-H64</f>
        <v>126905</v>
      </c>
      <c r="J64" s="39"/>
    </row>
    <row r="65" spans="1:12" ht="15.75">
      <c r="A65" s="76"/>
      <c r="B65" s="82" t="s">
        <v>570</v>
      </c>
      <c r="C65" s="90">
        <v>46008</v>
      </c>
      <c r="D65" s="228" t="s">
        <v>568</v>
      </c>
      <c r="E65" s="229"/>
      <c r="F65" s="230"/>
      <c r="G65" s="84"/>
      <c r="H65" s="84">
        <v>3500</v>
      </c>
      <c r="I65" s="139">
        <f t="shared" si="1"/>
        <v>123405</v>
      </c>
      <c r="J65" s="39"/>
    </row>
    <row r="66" spans="1:12" ht="15.75">
      <c r="A66" s="76"/>
      <c r="B66" s="37" t="s">
        <v>571</v>
      </c>
      <c r="C66" s="90">
        <v>46022</v>
      </c>
      <c r="D66" s="187" t="s">
        <v>180</v>
      </c>
      <c r="E66" s="188"/>
      <c r="F66" s="234"/>
      <c r="G66" s="138">
        <v>25</v>
      </c>
      <c r="H66" s="138"/>
      <c r="I66" s="139">
        <f t="shared" si="1"/>
        <v>123430</v>
      </c>
      <c r="J66" s="39"/>
    </row>
    <row r="67" spans="1:12" s="85" customFormat="1" ht="15.75">
      <c r="A67" s="81"/>
      <c r="B67" s="82"/>
      <c r="C67" s="83"/>
      <c r="D67" s="228"/>
      <c r="E67" s="229"/>
      <c r="F67" s="230"/>
      <c r="G67" s="84"/>
      <c r="H67" s="84"/>
      <c r="I67" s="139">
        <f t="shared" si="1"/>
        <v>123430</v>
      </c>
      <c r="J67" s="81"/>
    </row>
    <row r="68" spans="1:12">
      <c r="A68" s="8"/>
      <c r="B68" s="8"/>
      <c r="C68" s="143"/>
      <c r="D68" s="193" t="s">
        <v>91</v>
      </c>
      <c r="E68" s="194"/>
      <c r="F68" s="195"/>
      <c r="G68" s="36">
        <f>SUM(G17:G67)</f>
        <v>27983586</v>
      </c>
      <c r="H68" s="36">
        <f>SUM(H15:H67)</f>
        <v>31902030</v>
      </c>
      <c r="I68" s="36"/>
      <c r="J68" s="39"/>
    </row>
    <row r="69" spans="1:12">
      <c r="A69" s="192" t="s">
        <v>176</v>
      </c>
      <c r="B69" s="192"/>
      <c r="C69" s="192"/>
      <c r="D69" s="192"/>
      <c r="E69" s="192"/>
      <c r="F69" s="192"/>
      <c r="G69" s="36"/>
      <c r="H69" s="36"/>
      <c r="I69" s="36">
        <f>I14+G68-H68</f>
        <v>123430</v>
      </c>
      <c r="J69" s="39"/>
      <c r="L69" s="96"/>
    </row>
    <row r="70" spans="1:12" ht="15.75">
      <c r="A70" s="78"/>
      <c r="B70" s="134" t="s">
        <v>385</v>
      </c>
      <c r="C70" s="144"/>
      <c r="D70" s="78"/>
      <c r="E70" s="78"/>
      <c r="F70" s="78"/>
      <c r="G70" s="79"/>
      <c r="H70" s="79"/>
      <c r="I70" s="79"/>
      <c r="J70" s="15"/>
    </row>
    <row r="71" spans="1:12" ht="15.75">
      <c r="A71" s="78"/>
      <c r="B71" s="134" t="s">
        <v>390</v>
      </c>
      <c r="C71" s="144"/>
      <c r="D71" s="78"/>
      <c r="E71" s="78"/>
      <c r="F71" s="78"/>
      <c r="G71" s="79"/>
      <c r="H71" s="79"/>
      <c r="I71" s="79"/>
      <c r="J71" s="15"/>
    </row>
    <row r="72" spans="1:12">
      <c r="A72" s="15"/>
      <c r="B72" s="15"/>
      <c r="C72" s="140"/>
      <c r="D72" s="15"/>
      <c r="E72" s="15"/>
      <c r="H72" s="67" t="s">
        <v>389</v>
      </c>
      <c r="I72" s="15"/>
      <c r="J72" s="15"/>
    </row>
    <row r="73" spans="1:12">
      <c r="A73" s="15"/>
      <c r="B73" s="222" t="s">
        <v>219</v>
      </c>
      <c r="C73" s="222"/>
      <c r="D73" s="222" t="s">
        <v>78</v>
      </c>
      <c r="E73" s="222"/>
      <c r="F73" s="222"/>
      <c r="G73" s="12"/>
      <c r="H73" s="12" t="s">
        <v>220</v>
      </c>
      <c r="I73" s="15"/>
      <c r="J73" s="15"/>
    </row>
    <row r="74" spans="1:12">
      <c r="A74" s="15"/>
      <c r="B74" s="238" t="s">
        <v>80</v>
      </c>
      <c r="C74" s="238"/>
      <c r="D74" s="238" t="s">
        <v>80</v>
      </c>
      <c r="E74" s="238"/>
      <c r="F74" s="238"/>
      <c r="H74" s="133" t="s">
        <v>81</v>
      </c>
      <c r="I74" s="15"/>
      <c r="J74" s="15"/>
    </row>
    <row r="75" spans="1:12">
      <c r="A75" s="15"/>
      <c r="B75" s="15"/>
      <c r="C75" s="140"/>
      <c r="D75" s="15"/>
      <c r="E75" s="15"/>
      <c r="F75" s="15"/>
      <c r="G75" s="15"/>
      <c r="H75" s="15"/>
      <c r="I75" s="15"/>
      <c r="J75" s="15"/>
    </row>
    <row r="76" spans="1:12">
      <c r="A76" s="15"/>
      <c r="B76" s="15"/>
      <c r="C76" s="140"/>
      <c r="D76" s="15"/>
      <c r="E76" s="15"/>
      <c r="F76" s="15"/>
      <c r="G76" s="15"/>
      <c r="H76" s="15"/>
      <c r="I76" s="15"/>
      <c r="J76" s="15"/>
    </row>
    <row r="77" spans="1:12">
      <c r="A77" s="15"/>
      <c r="B77" s="15"/>
      <c r="C77" s="140"/>
      <c r="D77" s="15"/>
      <c r="E77" s="15"/>
      <c r="F77" s="15"/>
      <c r="G77" s="15"/>
      <c r="H77" s="15"/>
      <c r="I77" s="15"/>
      <c r="J77" s="15"/>
    </row>
    <row r="78" spans="1:12">
      <c r="A78" s="15"/>
      <c r="B78" s="15"/>
      <c r="C78" s="140"/>
      <c r="D78" s="15"/>
      <c r="E78" s="15"/>
      <c r="F78" s="15"/>
      <c r="G78" s="15"/>
      <c r="H78" s="15"/>
      <c r="I78" s="15"/>
      <c r="J78" s="15"/>
    </row>
    <row r="79" spans="1:12">
      <c r="A79" s="15"/>
      <c r="B79" s="15"/>
      <c r="C79" s="140"/>
      <c r="D79" s="15"/>
      <c r="E79" s="15"/>
      <c r="F79" s="15"/>
      <c r="G79" s="15"/>
      <c r="H79" s="15"/>
      <c r="I79" s="15"/>
      <c r="J79" s="15"/>
    </row>
    <row r="80" spans="1:12">
      <c r="A80" s="15"/>
      <c r="B80" s="186" t="s">
        <v>384</v>
      </c>
      <c r="C80" s="186"/>
      <c r="D80" s="186" t="s">
        <v>384</v>
      </c>
      <c r="E80" s="186"/>
      <c r="F80" s="186"/>
      <c r="G80" s="186" t="s">
        <v>173</v>
      </c>
      <c r="H80" s="186"/>
      <c r="I80" s="186"/>
      <c r="J80" s="15"/>
    </row>
    <row r="81" spans="1:10">
      <c r="A81" s="15"/>
      <c r="B81" s="15"/>
      <c r="C81" s="140"/>
      <c r="D81" s="15"/>
      <c r="E81" s="15"/>
      <c r="F81" s="15"/>
      <c r="G81" s="15"/>
      <c r="H81" s="15"/>
      <c r="I81" s="15"/>
      <c r="J81" s="15"/>
    </row>
    <row r="82" spans="1:10">
      <c r="H82" s="150"/>
    </row>
    <row r="83" spans="1:10">
      <c r="H83" s="150"/>
    </row>
    <row r="84" spans="1:10">
      <c r="H84" s="150"/>
    </row>
    <row r="85" spans="1:10">
      <c r="H85" s="150"/>
    </row>
    <row r="86" spans="1:10">
      <c r="H86" s="150"/>
    </row>
    <row r="87" spans="1:10">
      <c r="H87" s="150"/>
    </row>
    <row r="88" spans="1:10">
      <c r="H88" s="150"/>
    </row>
    <row r="89" spans="1:10">
      <c r="H89" s="150"/>
    </row>
  </sheetData>
  <autoFilter ref="A11:J74" xr:uid="{00000000-0009-0000-0000-00000D000000}">
    <filterColumn colId="1" showButton="0"/>
    <filterColumn colId="3" showButton="0"/>
    <filterColumn colId="4" showButton="0"/>
    <filterColumn colId="6" showButton="0"/>
    <filterColumn colId="7" showButton="0"/>
  </autoFilter>
  <mergeCells count="71">
    <mergeCell ref="D18:F18"/>
    <mergeCell ref="A5:J5"/>
    <mergeCell ref="A6:J6"/>
    <mergeCell ref="A11:A12"/>
    <mergeCell ref="B11:C11"/>
    <mergeCell ref="D11:F12"/>
    <mergeCell ref="G11:I11"/>
    <mergeCell ref="J11:J12"/>
    <mergeCell ref="D13:F13"/>
    <mergeCell ref="D14:F14"/>
    <mergeCell ref="D15:F15"/>
    <mergeCell ref="D16:F16"/>
    <mergeCell ref="D17:F17"/>
    <mergeCell ref="D30:F30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42:F42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54:F54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A69:F69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7:F67"/>
    <mergeCell ref="D68:F68"/>
    <mergeCell ref="D64:F64"/>
    <mergeCell ref="D65:F65"/>
    <mergeCell ref="D66:F66"/>
    <mergeCell ref="G80:I80"/>
    <mergeCell ref="B73:C73"/>
    <mergeCell ref="D73:F73"/>
    <mergeCell ref="B74:C74"/>
    <mergeCell ref="D74:F74"/>
    <mergeCell ref="B80:C80"/>
    <mergeCell ref="D80:F80"/>
  </mergeCells>
  <printOptions horizontalCentered="1"/>
  <pageMargins left="0" right="0" top="0" bottom="0" header="0.31496062992125984" footer="0.31496062992125984"/>
  <pageSetup paperSize="9" scale="6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39"/>
  <sheetViews>
    <sheetView workbookViewId="0">
      <selection activeCell="D22" sqref="D22"/>
    </sheetView>
  </sheetViews>
  <sheetFormatPr defaultRowHeight="16.5"/>
  <cols>
    <col min="1" max="1" width="8.42578125" style="102" customWidth="1"/>
    <col min="2" max="2" width="27.28515625" style="102" customWidth="1"/>
    <col min="3" max="3" width="28.28515625" style="102" customWidth="1"/>
    <col min="4" max="4" width="31" style="102" customWidth="1"/>
    <col min="5" max="5" width="78.85546875" style="103" bestFit="1" customWidth="1"/>
    <col min="6" max="256" width="9.140625" style="102"/>
    <col min="257" max="257" width="8.42578125" style="102" customWidth="1"/>
    <col min="258" max="258" width="27.28515625" style="102" customWidth="1"/>
    <col min="259" max="259" width="28.28515625" style="102" customWidth="1"/>
    <col min="260" max="260" width="31" style="102" customWidth="1"/>
    <col min="261" max="261" width="78.85546875" style="102" bestFit="1" customWidth="1"/>
    <col min="262" max="512" width="9.140625" style="102"/>
    <col min="513" max="513" width="8.42578125" style="102" customWidth="1"/>
    <col min="514" max="514" width="27.28515625" style="102" customWidth="1"/>
    <col min="515" max="515" width="28.28515625" style="102" customWidth="1"/>
    <col min="516" max="516" width="31" style="102" customWidth="1"/>
    <col min="517" max="517" width="78.85546875" style="102" bestFit="1" customWidth="1"/>
    <col min="518" max="768" width="9.140625" style="102"/>
    <col min="769" max="769" width="8.42578125" style="102" customWidth="1"/>
    <col min="770" max="770" width="27.28515625" style="102" customWidth="1"/>
    <col min="771" max="771" width="28.28515625" style="102" customWidth="1"/>
    <col min="772" max="772" width="31" style="102" customWidth="1"/>
    <col min="773" max="773" width="78.85546875" style="102" bestFit="1" customWidth="1"/>
    <col min="774" max="1024" width="9.140625" style="102"/>
    <col min="1025" max="1025" width="8.42578125" style="102" customWidth="1"/>
    <col min="1026" max="1026" width="27.28515625" style="102" customWidth="1"/>
    <col min="1027" max="1027" width="28.28515625" style="102" customWidth="1"/>
    <col min="1028" max="1028" width="31" style="102" customWidth="1"/>
    <col min="1029" max="1029" width="78.85546875" style="102" bestFit="1" customWidth="1"/>
    <col min="1030" max="1280" width="9.140625" style="102"/>
    <col min="1281" max="1281" width="8.42578125" style="102" customWidth="1"/>
    <col min="1282" max="1282" width="27.28515625" style="102" customWidth="1"/>
    <col min="1283" max="1283" width="28.28515625" style="102" customWidth="1"/>
    <col min="1284" max="1284" width="31" style="102" customWidth="1"/>
    <col min="1285" max="1285" width="78.85546875" style="102" bestFit="1" customWidth="1"/>
    <col min="1286" max="1536" width="9.140625" style="102"/>
    <col min="1537" max="1537" width="8.42578125" style="102" customWidth="1"/>
    <col min="1538" max="1538" width="27.28515625" style="102" customWidth="1"/>
    <col min="1539" max="1539" width="28.28515625" style="102" customWidth="1"/>
    <col min="1540" max="1540" width="31" style="102" customWidth="1"/>
    <col min="1541" max="1541" width="78.85546875" style="102" bestFit="1" customWidth="1"/>
    <col min="1542" max="1792" width="9.140625" style="102"/>
    <col min="1793" max="1793" width="8.42578125" style="102" customWidth="1"/>
    <col min="1794" max="1794" width="27.28515625" style="102" customWidth="1"/>
    <col min="1795" max="1795" width="28.28515625" style="102" customWidth="1"/>
    <col min="1796" max="1796" width="31" style="102" customWidth="1"/>
    <col min="1797" max="1797" width="78.85546875" style="102" bestFit="1" customWidth="1"/>
    <col min="1798" max="2048" width="9.140625" style="102"/>
    <col min="2049" max="2049" width="8.42578125" style="102" customWidth="1"/>
    <col min="2050" max="2050" width="27.28515625" style="102" customWidth="1"/>
    <col min="2051" max="2051" width="28.28515625" style="102" customWidth="1"/>
    <col min="2052" max="2052" width="31" style="102" customWidth="1"/>
    <col min="2053" max="2053" width="78.85546875" style="102" bestFit="1" customWidth="1"/>
    <col min="2054" max="2304" width="9.140625" style="102"/>
    <col min="2305" max="2305" width="8.42578125" style="102" customWidth="1"/>
    <col min="2306" max="2306" width="27.28515625" style="102" customWidth="1"/>
    <col min="2307" max="2307" width="28.28515625" style="102" customWidth="1"/>
    <col min="2308" max="2308" width="31" style="102" customWidth="1"/>
    <col min="2309" max="2309" width="78.85546875" style="102" bestFit="1" customWidth="1"/>
    <col min="2310" max="2560" width="9.140625" style="102"/>
    <col min="2561" max="2561" width="8.42578125" style="102" customWidth="1"/>
    <col min="2562" max="2562" width="27.28515625" style="102" customWidth="1"/>
    <col min="2563" max="2563" width="28.28515625" style="102" customWidth="1"/>
    <col min="2564" max="2564" width="31" style="102" customWidth="1"/>
    <col min="2565" max="2565" width="78.85546875" style="102" bestFit="1" customWidth="1"/>
    <col min="2566" max="2816" width="9.140625" style="102"/>
    <col min="2817" max="2817" width="8.42578125" style="102" customWidth="1"/>
    <col min="2818" max="2818" width="27.28515625" style="102" customWidth="1"/>
    <col min="2819" max="2819" width="28.28515625" style="102" customWidth="1"/>
    <col min="2820" max="2820" width="31" style="102" customWidth="1"/>
    <col min="2821" max="2821" width="78.85546875" style="102" bestFit="1" customWidth="1"/>
    <col min="2822" max="3072" width="9.140625" style="102"/>
    <col min="3073" max="3073" width="8.42578125" style="102" customWidth="1"/>
    <col min="3074" max="3074" width="27.28515625" style="102" customWidth="1"/>
    <col min="3075" max="3075" width="28.28515625" style="102" customWidth="1"/>
    <col min="3076" max="3076" width="31" style="102" customWidth="1"/>
    <col min="3077" max="3077" width="78.85546875" style="102" bestFit="1" customWidth="1"/>
    <col min="3078" max="3328" width="9.140625" style="102"/>
    <col min="3329" max="3329" width="8.42578125" style="102" customWidth="1"/>
    <col min="3330" max="3330" width="27.28515625" style="102" customWidth="1"/>
    <col min="3331" max="3331" width="28.28515625" style="102" customWidth="1"/>
    <col min="3332" max="3332" width="31" style="102" customWidth="1"/>
    <col min="3333" max="3333" width="78.85546875" style="102" bestFit="1" customWidth="1"/>
    <col min="3334" max="3584" width="9.140625" style="102"/>
    <col min="3585" max="3585" width="8.42578125" style="102" customWidth="1"/>
    <col min="3586" max="3586" width="27.28515625" style="102" customWidth="1"/>
    <col min="3587" max="3587" width="28.28515625" style="102" customWidth="1"/>
    <col min="3588" max="3588" width="31" style="102" customWidth="1"/>
    <col min="3589" max="3589" width="78.85546875" style="102" bestFit="1" customWidth="1"/>
    <col min="3590" max="3840" width="9.140625" style="102"/>
    <col min="3841" max="3841" width="8.42578125" style="102" customWidth="1"/>
    <col min="3842" max="3842" width="27.28515625" style="102" customWidth="1"/>
    <col min="3843" max="3843" width="28.28515625" style="102" customWidth="1"/>
    <col min="3844" max="3844" width="31" style="102" customWidth="1"/>
    <col min="3845" max="3845" width="78.85546875" style="102" bestFit="1" customWidth="1"/>
    <col min="3846" max="4096" width="9.140625" style="102"/>
    <col min="4097" max="4097" width="8.42578125" style="102" customWidth="1"/>
    <col min="4098" max="4098" width="27.28515625" style="102" customWidth="1"/>
    <col min="4099" max="4099" width="28.28515625" style="102" customWidth="1"/>
    <col min="4100" max="4100" width="31" style="102" customWidth="1"/>
    <col min="4101" max="4101" width="78.85546875" style="102" bestFit="1" customWidth="1"/>
    <col min="4102" max="4352" width="9.140625" style="102"/>
    <col min="4353" max="4353" width="8.42578125" style="102" customWidth="1"/>
    <col min="4354" max="4354" width="27.28515625" style="102" customWidth="1"/>
    <col min="4355" max="4355" width="28.28515625" style="102" customWidth="1"/>
    <col min="4356" max="4356" width="31" style="102" customWidth="1"/>
    <col min="4357" max="4357" width="78.85546875" style="102" bestFit="1" customWidth="1"/>
    <col min="4358" max="4608" width="9.140625" style="102"/>
    <col min="4609" max="4609" width="8.42578125" style="102" customWidth="1"/>
    <col min="4610" max="4610" width="27.28515625" style="102" customWidth="1"/>
    <col min="4611" max="4611" width="28.28515625" style="102" customWidth="1"/>
    <col min="4612" max="4612" width="31" style="102" customWidth="1"/>
    <col min="4613" max="4613" width="78.85546875" style="102" bestFit="1" customWidth="1"/>
    <col min="4614" max="4864" width="9.140625" style="102"/>
    <col min="4865" max="4865" width="8.42578125" style="102" customWidth="1"/>
    <col min="4866" max="4866" width="27.28515625" style="102" customWidth="1"/>
    <col min="4867" max="4867" width="28.28515625" style="102" customWidth="1"/>
    <col min="4868" max="4868" width="31" style="102" customWidth="1"/>
    <col min="4869" max="4869" width="78.85546875" style="102" bestFit="1" customWidth="1"/>
    <col min="4870" max="5120" width="9.140625" style="102"/>
    <col min="5121" max="5121" width="8.42578125" style="102" customWidth="1"/>
    <col min="5122" max="5122" width="27.28515625" style="102" customWidth="1"/>
    <col min="5123" max="5123" width="28.28515625" style="102" customWidth="1"/>
    <col min="5124" max="5124" width="31" style="102" customWidth="1"/>
    <col min="5125" max="5125" width="78.85546875" style="102" bestFit="1" customWidth="1"/>
    <col min="5126" max="5376" width="9.140625" style="102"/>
    <col min="5377" max="5377" width="8.42578125" style="102" customWidth="1"/>
    <col min="5378" max="5378" width="27.28515625" style="102" customWidth="1"/>
    <col min="5379" max="5379" width="28.28515625" style="102" customWidth="1"/>
    <col min="5380" max="5380" width="31" style="102" customWidth="1"/>
    <col min="5381" max="5381" width="78.85546875" style="102" bestFit="1" customWidth="1"/>
    <col min="5382" max="5632" width="9.140625" style="102"/>
    <col min="5633" max="5633" width="8.42578125" style="102" customWidth="1"/>
    <col min="5634" max="5634" width="27.28515625" style="102" customWidth="1"/>
    <col min="5635" max="5635" width="28.28515625" style="102" customWidth="1"/>
    <col min="5636" max="5636" width="31" style="102" customWidth="1"/>
    <col min="5637" max="5637" width="78.85546875" style="102" bestFit="1" customWidth="1"/>
    <col min="5638" max="5888" width="9.140625" style="102"/>
    <col min="5889" max="5889" width="8.42578125" style="102" customWidth="1"/>
    <col min="5890" max="5890" width="27.28515625" style="102" customWidth="1"/>
    <col min="5891" max="5891" width="28.28515625" style="102" customWidth="1"/>
    <col min="5892" max="5892" width="31" style="102" customWidth="1"/>
    <col min="5893" max="5893" width="78.85546875" style="102" bestFit="1" customWidth="1"/>
    <col min="5894" max="6144" width="9.140625" style="102"/>
    <col min="6145" max="6145" width="8.42578125" style="102" customWidth="1"/>
    <col min="6146" max="6146" width="27.28515625" style="102" customWidth="1"/>
    <col min="6147" max="6147" width="28.28515625" style="102" customWidth="1"/>
    <col min="6148" max="6148" width="31" style="102" customWidth="1"/>
    <col min="6149" max="6149" width="78.85546875" style="102" bestFit="1" customWidth="1"/>
    <col min="6150" max="6400" width="9.140625" style="102"/>
    <col min="6401" max="6401" width="8.42578125" style="102" customWidth="1"/>
    <col min="6402" max="6402" width="27.28515625" style="102" customWidth="1"/>
    <col min="6403" max="6403" width="28.28515625" style="102" customWidth="1"/>
    <col min="6404" max="6404" width="31" style="102" customWidth="1"/>
    <col min="6405" max="6405" width="78.85546875" style="102" bestFit="1" customWidth="1"/>
    <col min="6406" max="6656" width="9.140625" style="102"/>
    <col min="6657" max="6657" width="8.42578125" style="102" customWidth="1"/>
    <col min="6658" max="6658" width="27.28515625" style="102" customWidth="1"/>
    <col min="6659" max="6659" width="28.28515625" style="102" customWidth="1"/>
    <col min="6660" max="6660" width="31" style="102" customWidth="1"/>
    <col min="6661" max="6661" width="78.85546875" style="102" bestFit="1" customWidth="1"/>
    <col min="6662" max="6912" width="9.140625" style="102"/>
    <col min="6913" max="6913" width="8.42578125" style="102" customWidth="1"/>
    <col min="6914" max="6914" width="27.28515625" style="102" customWidth="1"/>
    <col min="6915" max="6915" width="28.28515625" style="102" customWidth="1"/>
    <col min="6916" max="6916" width="31" style="102" customWidth="1"/>
    <col min="6917" max="6917" width="78.85546875" style="102" bestFit="1" customWidth="1"/>
    <col min="6918" max="7168" width="9.140625" style="102"/>
    <col min="7169" max="7169" width="8.42578125" style="102" customWidth="1"/>
    <col min="7170" max="7170" width="27.28515625" style="102" customWidth="1"/>
    <col min="7171" max="7171" width="28.28515625" style="102" customWidth="1"/>
    <col min="7172" max="7172" width="31" style="102" customWidth="1"/>
    <col min="7173" max="7173" width="78.85546875" style="102" bestFit="1" customWidth="1"/>
    <col min="7174" max="7424" width="9.140625" style="102"/>
    <col min="7425" max="7425" width="8.42578125" style="102" customWidth="1"/>
    <col min="7426" max="7426" width="27.28515625" style="102" customWidth="1"/>
    <col min="7427" max="7427" width="28.28515625" style="102" customWidth="1"/>
    <col min="7428" max="7428" width="31" style="102" customWidth="1"/>
    <col min="7429" max="7429" width="78.85546875" style="102" bestFit="1" customWidth="1"/>
    <col min="7430" max="7680" width="9.140625" style="102"/>
    <col min="7681" max="7681" width="8.42578125" style="102" customWidth="1"/>
    <col min="7682" max="7682" width="27.28515625" style="102" customWidth="1"/>
    <col min="7683" max="7683" width="28.28515625" style="102" customWidth="1"/>
    <col min="7684" max="7684" width="31" style="102" customWidth="1"/>
    <col min="7685" max="7685" width="78.85546875" style="102" bestFit="1" customWidth="1"/>
    <col min="7686" max="7936" width="9.140625" style="102"/>
    <col min="7937" max="7937" width="8.42578125" style="102" customWidth="1"/>
    <col min="7938" max="7938" width="27.28515625" style="102" customWidth="1"/>
    <col min="7939" max="7939" width="28.28515625" style="102" customWidth="1"/>
    <col min="7940" max="7940" width="31" style="102" customWidth="1"/>
    <col min="7941" max="7941" width="78.85546875" style="102" bestFit="1" customWidth="1"/>
    <col min="7942" max="8192" width="9.140625" style="102"/>
    <col min="8193" max="8193" width="8.42578125" style="102" customWidth="1"/>
    <col min="8194" max="8194" width="27.28515625" style="102" customWidth="1"/>
    <col min="8195" max="8195" width="28.28515625" style="102" customWidth="1"/>
    <col min="8196" max="8196" width="31" style="102" customWidth="1"/>
    <col min="8197" max="8197" width="78.85546875" style="102" bestFit="1" customWidth="1"/>
    <col min="8198" max="8448" width="9.140625" style="102"/>
    <col min="8449" max="8449" width="8.42578125" style="102" customWidth="1"/>
    <col min="8450" max="8450" width="27.28515625" style="102" customWidth="1"/>
    <col min="8451" max="8451" width="28.28515625" style="102" customWidth="1"/>
    <col min="8452" max="8452" width="31" style="102" customWidth="1"/>
    <col min="8453" max="8453" width="78.85546875" style="102" bestFit="1" customWidth="1"/>
    <col min="8454" max="8704" width="9.140625" style="102"/>
    <col min="8705" max="8705" width="8.42578125" style="102" customWidth="1"/>
    <col min="8706" max="8706" width="27.28515625" style="102" customWidth="1"/>
    <col min="8707" max="8707" width="28.28515625" style="102" customWidth="1"/>
    <col min="8708" max="8708" width="31" style="102" customWidth="1"/>
    <col min="8709" max="8709" width="78.85546875" style="102" bestFit="1" customWidth="1"/>
    <col min="8710" max="8960" width="9.140625" style="102"/>
    <col min="8961" max="8961" width="8.42578125" style="102" customWidth="1"/>
    <col min="8962" max="8962" width="27.28515625" style="102" customWidth="1"/>
    <col min="8963" max="8963" width="28.28515625" style="102" customWidth="1"/>
    <col min="8964" max="8964" width="31" style="102" customWidth="1"/>
    <col min="8965" max="8965" width="78.85546875" style="102" bestFit="1" customWidth="1"/>
    <col min="8966" max="9216" width="9.140625" style="102"/>
    <col min="9217" max="9217" width="8.42578125" style="102" customWidth="1"/>
    <col min="9218" max="9218" width="27.28515625" style="102" customWidth="1"/>
    <col min="9219" max="9219" width="28.28515625" style="102" customWidth="1"/>
    <col min="9220" max="9220" width="31" style="102" customWidth="1"/>
    <col min="9221" max="9221" width="78.85546875" style="102" bestFit="1" customWidth="1"/>
    <col min="9222" max="9472" width="9.140625" style="102"/>
    <col min="9473" max="9473" width="8.42578125" style="102" customWidth="1"/>
    <col min="9474" max="9474" width="27.28515625" style="102" customWidth="1"/>
    <col min="9475" max="9475" width="28.28515625" style="102" customWidth="1"/>
    <col min="9476" max="9476" width="31" style="102" customWidth="1"/>
    <col min="9477" max="9477" width="78.85546875" style="102" bestFit="1" customWidth="1"/>
    <col min="9478" max="9728" width="9.140625" style="102"/>
    <col min="9729" max="9729" width="8.42578125" style="102" customWidth="1"/>
    <col min="9730" max="9730" width="27.28515625" style="102" customWidth="1"/>
    <col min="9731" max="9731" width="28.28515625" style="102" customWidth="1"/>
    <col min="9732" max="9732" width="31" style="102" customWidth="1"/>
    <col min="9733" max="9733" width="78.85546875" style="102" bestFit="1" customWidth="1"/>
    <col min="9734" max="9984" width="9.140625" style="102"/>
    <col min="9985" max="9985" width="8.42578125" style="102" customWidth="1"/>
    <col min="9986" max="9986" width="27.28515625" style="102" customWidth="1"/>
    <col min="9987" max="9987" width="28.28515625" style="102" customWidth="1"/>
    <col min="9988" max="9988" width="31" style="102" customWidth="1"/>
    <col min="9989" max="9989" width="78.85546875" style="102" bestFit="1" customWidth="1"/>
    <col min="9990" max="10240" width="9.140625" style="102"/>
    <col min="10241" max="10241" width="8.42578125" style="102" customWidth="1"/>
    <col min="10242" max="10242" width="27.28515625" style="102" customWidth="1"/>
    <col min="10243" max="10243" width="28.28515625" style="102" customWidth="1"/>
    <col min="10244" max="10244" width="31" style="102" customWidth="1"/>
    <col min="10245" max="10245" width="78.85546875" style="102" bestFit="1" customWidth="1"/>
    <col min="10246" max="10496" width="9.140625" style="102"/>
    <col min="10497" max="10497" width="8.42578125" style="102" customWidth="1"/>
    <col min="10498" max="10498" width="27.28515625" style="102" customWidth="1"/>
    <col min="10499" max="10499" width="28.28515625" style="102" customWidth="1"/>
    <col min="10500" max="10500" width="31" style="102" customWidth="1"/>
    <col min="10501" max="10501" width="78.85546875" style="102" bestFit="1" customWidth="1"/>
    <col min="10502" max="10752" width="9.140625" style="102"/>
    <col min="10753" max="10753" width="8.42578125" style="102" customWidth="1"/>
    <col min="10754" max="10754" width="27.28515625" style="102" customWidth="1"/>
    <col min="10755" max="10755" width="28.28515625" style="102" customWidth="1"/>
    <col min="10756" max="10756" width="31" style="102" customWidth="1"/>
    <col min="10757" max="10757" width="78.85546875" style="102" bestFit="1" customWidth="1"/>
    <col min="10758" max="11008" width="9.140625" style="102"/>
    <col min="11009" max="11009" width="8.42578125" style="102" customWidth="1"/>
    <col min="11010" max="11010" width="27.28515625" style="102" customWidth="1"/>
    <col min="11011" max="11011" width="28.28515625" style="102" customWidth="1"/>
    <col min="11012" max="11012" width="31" style="102" customWidth="1"/>
    <col min="11013" max="11013" width="78.85546875" style="102" bestFit="1" customWidth="1"/>
    <col min="11014" max="11264" width="9.140625" style="102"/>
    <col min="11265" max="11265" width="8.42578125" style="102" customWidth="1"/>
    <col min="11266" max="11266" width="27.28515625" style="102" customWidth="1"/>
    <col min="11267" max="11267" width="28.28515625" style="102" customWidth="1"/>
    <col min="11268" max="11268" width="31" style="102" customWidth="1"/>
    <col min="11269" max="11269" width="78.85546875" style="102" bestFit="1" customWidth="1"/>
    <col min="11270" max="11520" width="9.140625" style="102"/>
    <col min="11521" max="11521" width="8.42578125" style="102" customWidth="1"/>
    <col min="11522" max="11522" width="27.28515625" style="102" customWidth="1"/>
    <col min="11523" max="11523" width="28.28515625" style="102" customWidth="1"/>
    <col min="11524" max="11524" width="31" style="102" customWidth="1"/>
    <col min="11525" max="11525" width="78.85546875" style="102" bestFit="1" customWidth="1"/>
    <col min="11526" max="11776" width="9.140625" style="102"/>
    <col min="11777" max="11777" width="8.42578125" style="102" customWidth="1"/>
    <col min="11778" max="11778" width="27.28515625" style="102" customWidth="1"/>
    <col min="11779" max="11779" width="28.28515625" style="102" customWidth="1"/>
    <col min="11780" max="11780" width="31" style="102" customWidth="1"/>
    <col min="11781" max="11781" width="78.85546875" style="102" bestFit="1" customWidth="1"/>
    <col min="11782" max="12032" width="9.140625" style="102"/>
    <col min="12033" max="12033" width="8.42578125" style="102" customWidth="1"/>
    <col min="12034" max="12034" width="27.28515625" style="102" customWidth="1"/>
    <col min="12035" max="12035" width="28.28515625" style="102" customWidth="1"/>
    <col min="12036" max="12036" width="31" style="102" customWidth="1"/>
    <col min="12037" max="12037" width="78.85546875" style="102" bestFit="1" customWidth="1"/>
    <col min="12038" max="12288" width="9.140625" style="102"/>
    <col min="12289" max="12289" width="8.42578125" style="102" customWidth="1"/>
    <col min="12290" max="12290" width="27.28515625" style="102" customWidth="1"/>
    <col min="12291" max="12291" width="28.28515625" style="102" customWidth="1"/>
    <col min="12292" max="12292" width="31" style="102" customWidth="1"/>
    <col min="12293" max="12293" width="78.85546875" style="102" bestFit="1" customWidth="1"/>
    <col min="12294" max="12544" width="9.140625" style="102"/>
    <col min="12545" max="12545" width="8.42578125" style="102" customWidth="1"/>
    <col min="12546" max="12546" width="27.28515625" style="102" customWidth="1"/>
    <col min="12547" max="12547" width="28.28515625" style="102" customWidth="1"/>
    <col min="12548" max="12548" width="31" style="102" customWidth="1"/>
    <col min="12549" max="12549" width="78.85546875" style="102" bestFit="1" customWidth="1"/>
    <col min="12550" max="12800" width="9.140625" style="102"/>
    <col min="12801" max="12801" width="8.42578125" style="102" customWidth="1"/>
    <col min="12802" max="12802" width="27.28515625" style="102" customWidth="1"/>
    <col min="12803" max="12803" width="28.28515625" style="102" customWidth="1"/>
    <col min="12804" max="12804" width="31" style="102" customWidth="1"/>
    <col min="12805" max="12805" width="78.85546875" style="102" bestFit="1" customWidth="1"/>
    <col min="12806" max="13056" width="9.140625" style="102"/>
    <col min="13057" max="13057" width="8.42578125" style="102" customWidth="1"/>
    <col min="13058" max="13058" width="27.28515625" style="102" customWidth="1"/>
    <col min="13059" max="13059" width="28.28515625" style="102" customWidth="1"/>
    <col min="13060" max="13060" width="31" style="102" customWidth="1"/>
    <col min="13061" max="13061" width="78.85546875" style="102" bestFit="1" customWidth="1"/>
    <col min="13062" max="13312" width="9.140625" style="102"/>
    <col min="13313" max="13313" width="8.42578125" style="102" customWidth="1"/>
    <col min="13314" max="13314" width="27.28515625" style="102" customWidth="1"/>
    <col min="13315" max="13315" width="28.28515625" style="102" customWidth="1"/>
    <col min="13316" max="13316" width="31" style="102" customWidth="1"/>
    <col min="13317" max="13317" width="78.85546875" style="102" bestFit="1" customWidth="1"/>
    <col min="13318" max="13568" width="9.140625" style="102"/>
    <col min="13569" max="13569" width="8.42578125" style="102" customWidth="1"/>
    <col min="13570" max="13570" width="27.28515625" style="102" customWidth="1"/>
    <col min="13571" max="13571" width="28.28515625" style="102" customWidth="1"/>
    <col min="13572" max="13572" width="31" style="102" customWidth="1"/>
    <col min="13573" max="13573" width="78.85546875" style="102" bestFit="1" customWidth="1"/>
    <col min="13574" max="13824" width="9.140625" style="102"/>
    <col min="13825" max="13825" width="8.42578125" style="102" customWidth="1"/>
    <col min="13826" max="13826" width="27.28515625" style="102" customWidth="1"/>
    <col min="13827" max="13827" width="28.28515625" style="102" customWidth="1"/>
    <col min="13828" max="13828" width="31" style="102" customWidth="1"/>
    <col min="13829" max="13829" width="78.85546875" style="102" bestFit="1" customWidth="1"/>
    <col min="13830" max="14080" width="9.140625" style="102"/>
    <col min="14081" max="14081" width="8.42578125" style="102" customWidth="1"/>
    <col min="14082" max="14082" width="27.28515625" style="102" customWidth="1"/>
    <col min="14083" max="14083" width="28.28515625" style="102" customWidth="1"/>
    <col min="14084" max="14084" width="31" style="102" customWidth="1"/>
    <col min="14085" max="14085" width="78.85546875" style="102" bestFit="1" customWidth="1"/>
    <col min="14086" max="14336" width="9.140625" style="102"/>
    <col min="14337" max="14337" width="8.42578125" style="102" customWidth="1"/>
    <col min="14338" max="14338" width="27.28515625" style="102" customWidth="1"/>
    <col min="14339" max="14339" width="28.28515625" style="102" customWidth="1"/>
    <col min="14340" max="14340" width="31" style="102" customWidth="1"/>
    <col min="14341" max="14341" width="78.85546875" style="102" bestFit="1" customWidth="1"/>
    <col min="14342" max="14592" width="9.140625" style="102"/>
    <col min="14593" max="14593" width="8.42578125" style="102" customWidth="1"/>
    <col min="14594" max="14594" width="27.28515625" style="102" customWidth="1"/>
    <col min="14595" max="14595" width="28.28515625" style="102" customWidth="1"/>
    <col min="14596" max="14596" width="31" style="102" customWidth="1"/>
    <col min="14597" max="14597" width="78.85546875" style="102" bestFit="1" customWidth="1"/>
    <col min="14598" max="14848" width="9.140625" style="102"/>
    <col min="14849" max="14849" width="8.42578125" style="102" customWidth="1"/>
    <col min="14850" max="14850" width="27.28515625" style="102" customWidth="1"/>
    <col min="14851" max="14851" width="28.28515625" style="102" customWidth="1"/>
    <col min="14852" max="14852" width="31" style="102" customWidth="1"/>
    <col min="14853" max="14853" width="78.85546875" style="102" bestFit="1" customWidth="1"/>
    <col min="14854" max="15104" width="9.140625" style="102"/>
    <col min="15105" max="15105" width="8.42578125" style="102" customWidth="1"/>
    <col min="15106" max="15106" width="27.28515625" style="102" customWidth="1"/>
    <col min="15107" max="15107" width="28.28515625" style="102" customWidth="1"/>
    <col min="15108" max="15108" width="31" style="102" customWidth="1"/>
    <col min="15109" max="15109" width="78.85546875" style="102" bestFit="1" customWidth="1"/>
    <col min="15110" max="15360" width="9.140625" style="102"/>
    <col min="15361" max="15361" width="8.42578125" style="102" customWidth="1"/>
    <col min="15362" max="15362" width="27.28515625" style="102" customWidth="1"/>
    <col min="15363" max="15363" width="28.28515625" style="102" customWidth="1"/>
    <col min="15364" max="15364" width="31" style="102" customWidth="1"/>
    <col min="15365" max="15365" width="78.85546875" style="102" bestFit="1" customWidth="1"/>
    <col min="15366" max="15616" width="9.140625" style="102"/>
    <col min="15617" max="15617" width="8.42578125" style="102" customWidth="1"/>
    <col min="15618" max="15618" width="27.28515625" style="102" customWidth="1"/>
    <col min="15619" max="15619" width="28.28515625" style="102" customWidth="1"/>
    <col min="15620" max="15620" width="31" style="102" customWidth="1"/>
    <col min="15621" max="15621" width="78.85546875" style="102" bestFit="1" customWidth="1"/>
    <col min="15622" max="15872" width="9.140625" style="102"/>
    <col min="15873" max="15873" width="8.42578125" style="102" customWidth="1"/>
    <col min="15874" max="15874" width="27.28515625" style="102" customWidth="1"/>
    <col min="15875" max="15875" width="28.28515625" style="102" customWidth="1"/>
    <col min="15876" max="15876" width="31" style="102" customWidth="1"/>
    <col min="15877" max="15877" width="78.85546875" style="102" bestFit="1" customWidth="1"/>
    <col min="15878" max="16128" width="9.140625" style="102"/>
    <col min="16129" max="16129" width="8.42578125" style="102" customWidth="1"/>
    <col min="16130" max="16130" width="27.28515625" style="102" customWidth="1"/>
    <col min="16131" max="16131" width="28.28515625" style="102" customWidth="1"/>
    <col min="16132" max="16132" width="31" style="102" customWidth="1"/>
    <col min="16133" max="16133" width="78.85546875" style="102" bestFit="1" customWidth="1"/>
    <col min="16134" max="16384" width="9.140625" style="102"/>
  </cols>
  <sheetData>
    <row r="1" spans="1:5">
      <c r="A1" s="100"/>
      <c r="B1" s="101"/>
    </row>
    <row r="2" spans="1:5" ht="17.45" customHeight="1">
      <c r="A2" s="125" t="s">
        <v>556</v>
      </c>
      <c r="B2" s="125"/>
      <c r="C2" s="125"/>
      <c r="D2" s="126" t="s">
        <v>347</v>
      </c>
    </row>
    <row r="3" spans="1:5" ht="16.5" customHeight="1">
      <c r="A3" s="240" t="s">
        <v>348</v>
      </c>
      <c r="B3" s="240"/>
      <c r="C3" s="240"/>
      <c r="D3" s="240"/>
    </row>
    <row r="4" spans="1:5">
      <c r="A4" s="104"/>
    </row>
    <row r="5" spans="1:5" ht="18.75">
      <c r="A5" s="239" t="s">
        <v>253</v>
      </c>
      <c r="B5" s="239"/>
      <c r="C5" s="239"/>
      <c r="D5" s="239"/>
    </row>
    <row r="6" spans="1:5" ht="18.75">
      <c r="A6" s="105"/>
      <c r="B6" s="105"/>
      <c r="C6" s="105"/>
      <c r="D6" s="105"/>
    </row>
    <row r="7" spans="1:5">
      <c r="A7" s="106" t="s">
        <v>551</v>
      </c>
    </row>
    <row r="8" spans="1:5">
      <c r="A8" s="106"/>
    </row>
    <row r="9" spans="1:5">
      <c r="A9" s="107" t="s">
        <v>254</v>
      </c>
    </row>
    <row r="10" spans="1:5">
      <c r="A10" s="104" t="s">
        <v>351</v>
      </c>
      <c r="C10" s="104" t="s">
        <v>352</v>
      </c>
    </row>
    <row r="11" spans="1:5">
      <c r="A11" s="104" t="s">
        <v>350</v>
      </c>
      <c r="C11" s="104" t="s">
        <v>353</v>
      </c>
    </row>
    <row r="12" spans="1:5">
      <c r="A12" s="104" t="s">
        <v>554</v>
      </c>
      <c r="C12" s="104" t="s">
        <v>555</v>
      </c>
    </row>
    <row r="13" spans="1:5">
      <c r="A13" s="104"/>
    </row>
    <row r="14" spans="1:5" ht="20.45" customHeight="1">
      <c r="A14" s="108" t="s">
        <v>255</v>
      </c>
      <c r="B14" s="108" t="s">
        <v>256</v>
      </c>
      <c r="C14" s="108" t="s">
        <v>257</v>
      </c>
      <c r="D14" s="108" t="s">
        <v>258</v>
      </c>
      <c r="E14" s="109" t="s">
        <v>259</v>
      </c>
    </row>
    <row r="15" spans="1:5" ht="20.45" customHeight="1">
      <c r="A15" s="108" t="s">
        <v>83</v>
      </c>
      <c r="B15" s="108" t="s">
        <v>84</v>
      </c>
      <c r="C15" s="108">
        <v>1</v>
      </c>
      <c r="D15" s="108">
        <v>2</v>
      </c>
    </row>
    <row r="16" spans="1:5" ht="20.45" customHeight="1">
      <c r="A16" s="108" t="s">
        <v>25</v>
      </c>
      <c r="B16" s="110" t="s">
        <v>260</v>
      </c>
      <c r="C16" s="111"/>
      <c r="D16" s="127">
        <v>438010</v>
      </c>
      <c r="E16" s="103" t="s">
        <v>261</v>
      </c>
    </row>
    <row r="17" spans="1:5" ht="20.45" customHeight="1">
      <c r="A17" s="108" t="s">
        <v>26</v>
      </c>
      <c r="B17" s="110" t="s">
        <v>262</v>
      </c>
      <c r="C17" s="111"/>
      <c r="D17" s="127">
        <f>+SUM(D18:D28)</f>
        <v>438000</v>
      </c>
      <c r="E17" s="103" t="s">
        <v>263</v>
      </c>
    </row>
    <row r="18" spans="1:5" ht="20.45" customHeight="1">
      <c r="A18" s="111">
        <v>1</v>
      </c>
      <c r="B18" s="112" t="s">
        <v>264</v>
      </c>
      <c r="C18" s="111"/>
      <c r="D18" s="127"/>
    </row>
    <row r="19" spans="1:5" ht="20.45" customHeight="1">
      <c r="A19" s="111" t="s">
        <v>265</v>
      </c>
      <c r="B19" s="112" t="s">
        <v>266</v>
      </c>
      <c r="C19" s="111">
        <v>2</v>
      </c>
      <c r="D19" s="127">
        <f>200000*C19</f>
        <v>400000</v>
      </c>
    </row>
    <row r="20" spans="1:5" ht="20.45" customHeight="1">
      <c r="A20" s="111" t="s">
        <v>267</v>
      </c>
      <c r="B20" s="112" t="s">
        <v>268</v>
      </c>
      <c r="C20" s="111"/>
      <c r="D20" s="127"/>
      <c r="E20" s="128"/>
    </row>
    <row r="21" spans="1:5" ht="20.45" customHeight="1">
      <c r="A21" s="111" t="s">
        <v>269</v>
      </c>
      <c r="B21" s="112" t="s">
        <v>270</v>
      </c>
      <c r="C21" s="111"/>
      <c r="D21" s="127"/>
    </row>
    <row r="22" spans="1:5" ht="20.45" customHeight="1">
      <c r="A22" s="111" t="s">
        <v>271</v>
      </c>
      <c r="B22" s="112" t="s">
        <v>272</v>
      </c>
      <c r="C22" s="111">
        <v>1</v>
      </c>
      <c r="D22" s="127">
        <v>20000</v>
      </c>
    </row>
    <row r="23" spans="1:5" ht="20.45" customHeight="1">
      <c r="A23" s="111" t="s">
        <v>273</v>
      </c>
      <c r="B23" s="112" t="s">
        <v>274</v>
      </c>
      <c r="C23" s="111">
        <v>1</v>
      </c>
      <c r="D23" s="127">
        <v>10000</v>
      </c>
    </row>
    <row r="24" spans="1:5" ht="20.45" customHeight="1">
      <c r="A24" s="111">
        <v>7</v>
      </c>
      <c r="B24" s="112" t="s">
        <v>275</v>
      </c>
      <c r="C24" s="111"/>
      <c r="D24" s="127"/>
    </row>
    <row r="25" spans="1:5" ht="20.45" customHeight="1">
      <c r="A25" s="111">
        <v>8</v>
      </c>
      <c r="B25" s="112" t="s">
        <v>276</v>
      </c>
      <c r="C25" s="111">
        <v>4</v>
      </c>
      <c r="D25" s="127">
        <f>2000*C25</f>
        <v>8000</v>
      </c>
    </row>
    <row r="26" spans="1:5" ht="20.45" customHeight="1">
      <c r="A26" s="111">
        <v>9</v>
      </c>
      <c r="B26" s="112" t="s">
        <v>277</v>
      </c>
      <c r="C26" s="111"/>
      <c r="D26" s="127"/>
    </row>
    <row r="27" spans="1:5" ht="20.45" customHeight="1">
      <c r="A27" s="111">
        <v>10</v>
      </c>
      <c r="B27" s="112" t="s">
        <v>278</v>
      </c>
      <c r="C27" s="111"/>
      <c r="D27" s="127"/>
      <c r="E27" s="128">
        <f>+D17-D16</f>
        <v>-10</v>
      </c>
    </row>
    <row r="28" spans="1:5" ht="20.45" customHeight="1">
      <c r="A28" s="111" t="s">
        <v>279</v>
      </c>
      <c r="B28" s="112" t="s">
        <v>280</v>
      </c>
      <c r="C28" s="111"/>
      <c r="D28" s="127"/>
      <c r="E28" s="103" t="s">
        <v>281</v>
      </c>
    </row>
    <row r="29" spans="1:5" ht="20.45" customHeight="1">
      <c r="A29" s="108" t="s">
        <v>33</v>
      </c>
      <c r="B29" s="110" t="s">
        <v>282</v>
      </c>
      <c r="C29" s="111"/>
      <c r="D29" s="127">
        <f>D17-D16</f>
        <v>-10</v>
      </c>
    </row>
    <row r="30" spans="1:5" ht="19.899999999999999" customHeight="1">
      <c r="A30" s="104" t="s">
        <v>283</v>
      </c>
      <c r="B30" s="104" t="s">
        <v>552</v>
      </c>
    </row>
    <row r="31" spans="1:5" ht="39" customHeight="1">
      <c r="A31" s="246" t="s">
        <v>590</v>
      </c>
      <c r="B31" s="246"/>
      <c r="C31" s="246"/>
      <c r="D31" s="246"/>
    </row>
    <row r="32" spans="1:5">
      <c r="A32" s="104"/>
    </row>
    <row r="33" spans="1:5" ht="33">
      <c r="B33" s="113" t="s">
        <v>284</v>
      </c>
      <c r="C33" s="113" t="s">
        <v>285</v>
      </c>
      <c r="D33" s="113" t="s">
        <v>286</v>
      </c>
    </row>
    <row r="34" spans="1:5">
      <c r="B34" s="114" t="s">
        <v>80</v>
      </c>
      <c r="C34" s="114" t="s">
        <v>80</v>
      </c>
      <c r="D34" s="114" t="s">
        <v>80</v>
      </c>
    </row>
    <row r="35" spans="1:5">
      <c r="A35" s="115"/>
    </row>
    <row r="38" spans="1:5">
      <c r="E38" s="116"/>
    </row>
    <row r="39" spans="1:5">
      <c r="B39" s="130" t="s">
        <v>344</v>
      </c>
      <c r="C39" s="130" t="s">
        <v>553</v>
      </c>
      <c r="D39" s="130" t="s">
        <v>345</v>
      </c>
    </row>
  </sheetData>
  <mergeCells count="3">
    <mergeCell ref="A3:D3"/>
    <mergeCell ref="A5:D5"/>
    <mergeCell ref="A31:D31"/>
  </mergeCells>
  <pageMargins left="0.4" right="0.36" top="0.42" bottom="0.75" header="0.3" footer="0.3"/>
  <pageSetup paperSize="9" scale="56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5243A-9B0E-46C9-BEE5-8AB14EC947A1}">
  <sheetPr>
    <pageSetUpPr fitToPage="1"/>
  </sheetPr>
  <dimension ref="A1:J66"/>
  <sheetViews>
    <sheetView tabSelected="1" topLeftCell="A19" zoomScale="85" zoomScaleNormal="85" workbookViewId="0">
      <selection activeCell="G34" sqref="G34"/>
    </sheetView>
  </sheetViews>
  <sheetFormatPr defaultRowHeight="15"/>
  <cols>
    <col min="1" max="1" width="12.42578125" customWidth="1"/>
    <col min="2" max="2" width="14.28515625" customWidth="1"/>
    <col min="3" max="3" width="12.28515625" customWidth="1"/>
    <col min="4" max="4" width="13.5703125" customWidth="1"/>
    <col min="5" max="5" width="55.140625" customWidth="1"/>
    <col min="6" max="6" width="12.42578125" customWidth="1"/>
    <col min="7" max="7" width="12.7109375" customWidth="1"/>
    <col min="8" max="8" width="15.42578125" customWidth="1"/>
    <col min="9" max="9" width="7.7109375" customWidth="1"/>
    <col min="10" max="10" width="14.7109375" customWidth="1"/>
    <col min="258" max="258" width="14.28515625" customWidth="1"/>
    <col min="261" max="261" width="64" customWidth="1"/>
    <col min="262" max="264" width="14.7109375" customWidth="1"/>
    <col min="265" max="265" width="13.7109375" customWidth="1"/>
    <col min="514" max="514" width="14.28515625" customWidth="1"/>
    <col min="517" max="517" width="64" customWidth="1"/>
    <col min="518" max="520" width="14.7109375" customWidth="1"/>
    <col min="521" max="521" width="13.7109375" customWidth="1"/>
    <col min="770" max="770" width="14.28515625" customWidth="1"/>
    <col min="773" max="773" width="64" customWidth="1"/>
    <col min="774" max="776" width="14.7109375" customWidth="1"/>
    <col min="777" max="777" width="13.7109375" customWidth="1"/>
    <col min="1026" max="1026" width="14.28515625" customWidth="1"/>
    <col min="1029" max="1029" width="64" customWidth="1"/>
    <col min="1030" max="1032" width="14.7109375" customWidth="1"/>
    <col min="1033" max="1033" width="13.7109375" customWidth="1"/>
    <col min="1282" max="1282" width="14.28515625" customWidth="1"/>
    <col min="1285" max="1285" width="64" customWidth="1"/>
    <col min="1286" max="1288" width="14.7109375" customWidth="1"/>
    <col min="1289" max="1289" width="13.7109375" customWidth="1"/>
    <col min="1538" max="1538" width="14.28515625" customWidth="1"/>
    <col min="1541" max="1541" width="64" customWidth="1"/>
    <col min="1542" max="1544" width="14.7109375" customWidth="1"/>
    <col min="1545" max="1545" width="13.7109375" customWidth="1"/>
    <col min="1794" max="1794" width="14.28515625" customWidth="1"/>
    <col min="1797" max="1797" width="64" customWidth="1"/>
    <col min="1798" max="1800" width="14.7109375" customWidth="1"/>
    <col min="1801" max="1801" width="13.7109375" customWidth="1"/>
    <col min="2050" max="2050" width="14.28515625" customWidth="1"/>
    <col min="2053" max="2053" width="64" customWidth="1"/>
    <col min="2054" max="2056" width="14.7109375" customWidth="1"/>
    <col min="2057" max="2057" width="13.7109375" customWidth="1"/>
    <col min="2306" max="2306" width="14.28515625" customWidth="1"/>
    <col min="2309" max="2309" width="64" customWidth="1"/>
    <col min="2310" max="2312" width="14.7109375" customWidth="1"/>
    <col min="2313" max="2313" width="13.7109375" customWidth="1"/>
    <col min="2562" max="2562" width="14.28515625" customWidth="1"/>
    <col min="2565" max="2565" width="64" customWidth="1"/>
    <col min="2566" max="2568" width="14.7109375" customWidth="1"/>
    <col min="2569" max="2569" width="13.7109375" customWidth="1"/>
    <col min="2818" max="2818" width="14.28515625" customWidth="1"/>
    <col min="2821" max="2821" width="64" customWidth="1"/>
    <col min="2822" max="2824" width="14.7109375" customWidth="1"/>
    <col min="2825" max="2825" width="13.7109375" customWidth="1"/>
    <col min="3074" max="3074" width="14.28515625" customWidth="1"/>
    <col min="3077" max="3077" width="64" customWidth="1"/>
    <col min="3078" max="3080" width="14.7109375" customWidth="1"/>
    <col min="3081" max="3081" width="13.7109375" customWidth="1"/>
    <col min="3330" max="3330" width="14.28515625" customWidth="1"/>
    <col min="3333" max="3333" width="64" customWidth="1"/>
    <col min="3334" max="3336" width="14.7109375" customWidth="1"/>
    <col min="3337" max="3337" width="13.7109375" customWidth="1"/>
    <col min="3586" max="3586" width="14.28515625" customWidth="1"/>
    <col min="3589" max="3589" width="64" customWidth="1"/>
    <col min="3590" max="3592" width="14.7109375" customWidth="1"/>
    <col min="3593" max="3593" width="13.7109375" customWidth="1"/>
    <col min="3842" max="3842" width="14.28515625" customWidth="1"/>
    <col min="3845" max="3845" width="64" customWidth="1"/>
    <col min="3846" max="3848" width="14.7109375" customWidth="1"/>
    <col min="3849" max="3849" width="13.7109375" customWidth="1"/>
    <col min="4098" max="4098" width="14.28515625" customWidth="1"/>
    <col min="4101" max="4101" width="64" customWidth="1"/>
    <col min="4102" max="4104" width="14.7109375" customWidth="1"/>
    <col min="4105" max="4105" width="13.7109375" customWidth="1"/>
    <col min="4354" max="4354" width="14.28515625" customWidth="1"/>
    <col min="4357" max="4357" width="64" customWidth="1"/>
    <col min="4358" max="4360" width="14.7109375" customWidth="1"/>
    <col min="4361" max="4361" width="13.7109375" customWidth="1"/>
    <col min="4610" max="4610" width="14.28515625" customWidth="1"/>
    <col min="4613" max="4613" width="64" customWidth="1"/>
    <col min="4614" max="4616" width="14.7109375" customWidth="1"/>
    <col min="4617" max="4617" width="13.7109375" customWidth="1"/>
    <col min="4866" max="4866" width="14.28515625" customWidth="1"/>
    <col min="4869" max="4869" width="64" customWidth="1"/>
    <col min="4870" max="4872" width="14.7109375" customWidth="1"/>
    <col min="4873" max="4873" width="13.7109375" customWidth="1"/>
    <col min="5122" max="5122" width="14.28515625" customWidth="1"/>
    <col min="5125" max="5125" width="64" customWidth="1"/>
    <col min="5126" max="5128" width="14.7109375" customWidth="1"/>
    <col min="5129" max="5129" width="13.7109375" customWidth="1"/>
    <col min="5378" max="5378" width="14.28515625" customWidth="1"/>
    <col min="5381" max="5381" width="64" customWidth="1"/>
    <col min="5382" max="5384" width="14.7109375" customWidth="1"/>
    <col min="5385" max="5385" width="13.7109375" customWidth="1"/>
    <col min="5634" max="5634" width="14.28515625" customWidth="1"/>
    <col min="5637" max="5637" width="64" customWidth="1"/>
    <col min="5638" max="5640" width="14.7109375" customWidth="1"/>
    <col min="5641" max="5641" width="13.7109375" customWidth="1"/>
    <col min="5890" max="5890" width="14.28515625" customWidth="1"/>
    <col min="5893" max="5893" width="64" customWidth="1"/>
    <col min="5894" max="5896" width="14.7109375" customWidth="1"/>
    <col min="5897" max="5897" width="13.7109375" customWidth="1"/>
    <col min="6146" max="6146" width="14.28515625" customWidth="1"/>
    <col min="6149" max="6149" width="64" customWidth="1"/>
    <col min="6150" max="6152" width="14.7109375" customWidth="1"/>
    <col min="6153" max="6153" width="13.7109375" customWidth="1"/>
    <col min="6402" max="6402" width="14.28515625" customWidth="1"/>
    <col min="6405" max="6405" width="64" customWidth="1"/>
    <col min="6406" max="6408" width="14.7109375" customWidth="1"/>
    <col min="6409" max="6409" width="13.7109375" customWidth="1"/>
    <col min="6658" max="6658" width="14.28515625" customWidth="1"/>
    <col min="6661" max="6661" width="64" customWidth="1"/>
    <col min="6662" max="6664" width="14.7109375" customWidth="1"/>
    <col min="6665" max="6665" width="13.7109375" customWidth="1"/>
    <col min="6914" max="6914" width="14.28515625" customWidth="1"/>
    <col min="6917" max="6917" width="64" customWidth="1"/>
    <col min="6918" max="6920" width="14.7109375" customWidth="1"/>
    <col min="6921" max="6921" width="13.7109375" customWidth="1"/>
    <col min="7170" max="7170" width="14.28515625" customWidth="1"/>
    <col min="7173" max="7173" width="64" customWidth="1"/>
    <col min="7174" max="7176" width="14.7109375" customWidth="1"/>
    <col min="7177" max="7177" width="13.7109375" customWidth="1"/>
    <col min="7426" max="7426" width="14.28515625" customWidth="1"/>
    <col min="7429" max="7429" width="64" customWidth="1"/>
    <col min="7430" max="7432" width="14.7109375" customWidth="1"/>
    <col min="7433" max="7433" width="13.7109375" customWidth="1"/>
    <col min="7682" max="7682" width="14.28515625" customWidth="1"/>
    <col min="7685" max="7685" width="64" customWidth="1"/>
    <col min="7686" max="7688" width="14.7109375" customWidth="1"/>
    <col min="7689" max="7689" width="13.7109375" customWidth="1"/>
    <col min="7938" max="7938" width="14.28515625" customWidth="1"/>
    <col min="7941" max="7941" width="64" customWidth="1"/>
    <col min="7942" max="7944" width="14.7109375" customWidth="1"/>
    <col min="7945" max="7945" width="13.7109375" customWidth="1"/>
    <col min="8194" max="8194" width="14.28515625" customWidth="1"/>
    <col min="8197" max="8197" width="64" customWidth="1"/>
    <col min="8198" max="8200" width="14.7109375" customWidth="1"/>
    <col min="8201" max="8201" width="13.7109375" customWidth="1"/>
    <col min="8450" max="8450" width="14.28515625" customWidth="1"/>
    <col min="8453" max="8453" width="64" customWidth="1"/>
    <col min="8454" max="8456" width="14.7109375" customWidth="1"/>
    <col min="8457" max="8457" width="13.7109375" customWidth="1"/>
    <col min="8706" max="8706" width="14.28515625" customWidth="1"/>
    <col min="8709" max="8709" width="64" customWidth="1"/>
    <col min="8710" max="8712" width="14.7109375" customWidth="1"/>
    <col min="8713" max="8713" width="13.7109375" customWidth="1"/>
    <col min="8962" max="8962" width="14.28515625" customWidth="1"/>
    <col min="8965" max="8965" width="64" customWidth="1"/>
    <col min="8966" max="8968" width="14.7109375" customWidth="1"/>
    <col min="8969" max="8969" width="13.7109375" customWidth="1"/>
    <col min="9218" max="9218" width="14.28515625" customWidth="1"/>
    <col min="9221" max="9221" width="64" customWidth="1"/>
    <col min="9222" max="9224" width="14.7109375" customWidth="1"/>
    <col min="9225" max="9225" width="13.7109375" customWidth="1"/>
    <col min="9474" max="9474" width="14.28515625" customWidth="1"/>
    <col min="9477" max="9477" width="64" customWidth="1"/>
    <col min="9478" max="9480" width="14.7109375" customWidth="1"/>
    <col min="9481" max="9481" width="13.7109375" customWidth="1"/>
    <col min="9730" max="9730" width="14.28515625" customWidth="1"/>
    <col min="9733" max="9733" width="64" customWidth="1"/>
    <col min="9734" max="9736" width="14.7109375" customWidth="1"/>
    <col min="9737" max="9737" width="13.7109375" customWidth="1"/>
    <col min="9986" max="9986" width="14.28515625" customWidth="1"/>
    <col min="9989" max="9989" width="64" customWidth="1"/>
    <col min="9990" max="9992" width="14.7109375" customWidth="1"/>
    <col min="9993" max="9993" width="13.7109375" customWidth="1"/>
    <col min="10242" max="10242" width="14.28515625" customWidth="1"/>
    <col min="10245" max="10245" width="64" customWidth="1"/>
    <col min="10246" max="10248" width="14.7109375" customWidth="1"/>
    <col min="10249" max="10249" width="13.7109375" customWidth="1"/>
    <col min="10498" max="10498" width="14.28515625" customWidth="1"/>
    <col min="10501" max="10501" width="64" customWidth="1"/>
    <col min="10502" max="10504" width="14.7109375" customWidth="1"/>
    <col min="10505" max="10505" width="13.7109375" customWidth="1"/>
    <col min="10754" max="10754" width="14.28515625" customWidth="1"/>
    <col min="10757" max="10757" width="64" customWidth="1"/>
    <col min="10758" max="10760" width="14.7109375" customWidth="1"/>
    <col min="10761" max="10761" width="13.7109375" customWidth="1"/>
    <col min="11010" max="11010" width="14.28515625" customWidth="1"/>
    <col min="11013" max="11013" width="64" customWidth="1"/>
    <col min="11014" max="11016" width="14.7109375" customWidth="1"/>
    <col min="11017" max="11017" width="13.7109375" customWidth="1"/>
    <col min="11266" max="11266" width="14.28515625" customWidth="1"/>
    <col min="11269" max="11269" width="64" customWidth="1"/>
    <col min="11270" max="11272" width="14.7109375" customWidth="1"/>
    <col min="11273" max="11273" width="13.7109375" customWidth="1"/>
    <col min="11522" max="11522" width="14.28515625" customWidth="1"/>
    <col min="11525" max="11525" width="64" customWidth="1"/>
    <col min="11526" max="11528" width="14.7109375" customWidth="1"/>
    <col min="11529" max="11529" width="13.7109375" customWidth="1"/>
    <col min="11778" max="11778" width="14.28515625" customWidth="1"/>
    <col min="11781" max="11781" width="64" customWidth="1"/>
    <col min="11782" max="11784" width="14.7109375" customWidth="1"/>
    <col min="11785" max="11785" width="13.7109375" customWidth="1"/>
    <col min="12034" max="12034" width="14.28515625" customWidth="1"/>
    <col min="12037" max="12037" width="64" customWidth="1"/>
    <col min="12038" max="12040" width="14.7109375" customWidth="1"/>
    <col min="12041" max="12041" width="13.7109375" customWidth="1"/>
    <col min="12290" max="12290" width="14.28515625" customWidth="1"/>
    <col min="12293" max="12293" width="64" customWidth="1"/>
    <col min="12294" max="12296" width="14.7109375" customWidth="1"/>
    <col min="12297" max="12297" width="13.7109375" customWidth="1"/>
    <col min="12546" max="12546" width="14.28515625" customWidth="1"/>
    <col min="12549" max="12549" width="64" customWidth="1"/>
    <col min="12550" max="12552" width="14.7109375" customWidth="1"/>
    <col min="12553" max="12553" width="13.7109375" customWidth="1"/>
    <col min="12802" max="12802" width="14.28515625" customWidth="1"/>
    <col min="12805" max="12805" width="64" customWidth="1"/>
    <col min="12806" max="12808" width="14.7109375" customWidth="1"/>
    <col min="12809" max="12809" width="13.7109375" customWidth="1"/>
    <col min="13058" max="13058" width="14.28515625" customWidth="1"/>
    <col min="13061" max="13061" width="64" customWidth="1"/>
    <col min="13062" max="13064" width="14.7109375" customWidth="1"/>
    <col min="13065" max="13065" width="13.7109375" customWidth="1"/>
    <col min="13314" max="13314" width="14.28515625" customWidth="1"/>
    <col min="13317" max="13317" width="64" customWidth="1"/>
    <col min="13318" max="13320" width="14.7109375" customWidth="1"/>
    <col min="13321" max="13321" width="13.7109375" customWidth="1"/>
    <col min="13570" max="13570" width="14.28515625" customWidth="1"/>
    <col min="13573" max="13573" width="64" customWidth="1"/>
    <col min="13574" max="13576" width="14.7109375" customWidth="1"/>
    <col min="13577" max="13577" width="13.7109375" customWidth="1"/>
    <col min="13826" max="13826" width="14.28515625" customWidth="1"/>
    <col min="13829" max="13829" width="64" customWidth="1"/>
    <col min="13830" max="13832" width="14.7109375" customWidth="1"/>
    <col min="13833" max="13833" width="13.7109375" customWidth="1"/>
    <col min="14082" max="14082" width="14.28515625" customWidth="1"/>
    <col min="14085" max="14085" width="64" customWidth="1"/>
    <col min="14086" max="14088" width="14.7109375" customWidth="1"/>
    <col min="14089" max="14089" width="13.7109375" customWidth="1"/>
    <col min="14338" max="14338" width="14.28515625" customWidth="1"/>
    <col min="14341" max="14341" width="64" customWidth="1"/>
    <col min="14342" max="14344" width="14.7109375" customWidth="1"/>
    <col min="14345" max="14345" width="13.7109375" customWidth="1"/>
    <col min="14594" max="14594" width="14.28515625" customWidth="1"/>
    <col min="14597" max="14597" width="64" customWidth="1"/>
    <col min="14598" max="14600" width="14.7109375" customWidth="1"/>
    <col min="14601" max="14601" width="13.7109375" customWidth="1"/>
    <col min="14850" max="14850" width="14.28515625" customWidth="1"/>
    <col min="14853" max="14853" width="64" customWidth="1"/>
    <col min="14854" max="14856" width="14.7109375" customWidth="1"/>
    <col min="14857" max="14857" width="13.7109375" customWidth="1"/>
    <col min="15106" max="15106" width="14.28515625" customWidth="1"/>
    <col min="15109" max="15109" width="64" customWidth="1"/>
    <col min="15110" max="15112" width="14.7109375" customWidth="1"/>
    <col min="15113" max="15113" width="13.7109375" customWidth="1"/>
    <col min="15362" max="15362" width="14.28515625" customWidth="1"/>
    <col min="15365" max="15365" width="64" customWidth="1"/>
    <col min="15366" max="15368" width="14.7109375" customWidth="1"/>
    <col min="15369" max="15369" width="13.7109375" customWidth="1"/>
    <col min="15618" max="15618" width="14.28515625" customWidth="1"/>
    <col min="15621" max="15621" width="64" customWidth="1"/>
    <col min="15622" max="15624" width="14.7109375" customWidth="1"/>
    <col min="15625" max="15625" width="13.7109375" customWidth="1"/>
    <col min="15874" max="15874" width="14.28515625" customWidth="1"/>
    <col min="15877" max="15877" width="64" customWidth="1"/>
    <col min="15878" max="15880" width="14.7109375" customWidth="1"/>
    <col min="15881" max="15881" width="13.7109375" customWidth="1"/>
    <col min="16130" max="16130" width="14.28515625" customWidth="1"/>
    <col min="16133" max="16133" width="64" customWidth="1"/>
    <col min="16134" max="16136" width="14.7109375" customWidth="1"/>
    <col min="16137" max="16137" width="13.7109375" customWidth="1"/>
  </cols>
  <sheetData>
    <row r="1" spans="1:10" ht="16.5">
      <c r="A1" s="46" t="s">
        <v>550</v>
      </c>
      <c r="B1" s="46"/>
      <c r="C1" s="15"/>
      <c r="D1" s="15"/>
      <c r="E1" s="15"/>
      <c r="F1" s="15"/>
      <c r="G1" s="12" t="s">
        <v>248</v>
      </c>
      <c r="I1" s="16"/>
    </row>
    <row r="2" spans="1:10" ht="16.5">
      <c r="A2" s="30" t="s">
        <v>115</v>
      </c>
      <c r="B2" s="30"/>
      <c r="C2" s="15"/>
      <c r="D2" s="15"/>
      <c r="E2" s="15"/>
      <c r="F2" s="15"/>
      <c r="G2" s="28" t="s">
        <v>88</v>
      </c>
      <c r="I2" s="16"/>
    </row>
    <row r="3" spans="1:10" ht="12.75" customHeight="1">
      <c r="B3" s="15"/>
      <c r="C3" s="15"/>
      <c r="D3" s="15"/>
      <c r="E3" s="15"/>
      <c r="F3" s="15"/>
      <c r="G3" s="29" t="s">
        <v>87</v>
      </c>
      <c r="I3" s="16"/>
    </row>
    <row r="4" spans="1:10" ht="18.75" customHeight="1">
      <c r="B4" s="174" t="s">
        <v>69</v>
      </c>
      <c r="C4" s="174"/>
      <c r="D4" s="174"/>
      <c r="E4" s="174"/>
      <c r="F4" s="174"/>
      <c r="G4" s="174"/>
      <c r="H4" s="174"/>
      <c r="I4" s="174"/>
      <c r="J4" s="137">
        <v>1452000</v>
      </c>
    </row>
    <row r="5" spans="1:10" ht="13.5" customHeight="1">
      <c r="B5" s="226" t="s">
        <v>588</v>
      </c>
      <c r="C5" s="226"/>
      <c r="D5" s="226"/>
      <c r="E5" s="226"/>
      <c r="F5" s="226"/>
      <c r="G5" s="226"/>
      <c r="H5" s="226"/>
      <c r="I5" s="226"/>
    </row>
    <row r="6" spans="1:10" ht="8.25" customHeight="1">
      <c r="B6" s="16"/>
      <c r="C6" s="16"/>
      <c r="D6" s="16"/>
      <c r="E6" s="16"/>
      <c r="F6" s="16"/>
      <c r="G6" s="16"/>
      <c r="H6" s="16"/>
      <c r="I6" s="16"/>
      <c r="J6" s="16"/>
    </row>
    <row r="7" spans="1:10" ht="16.5">
      <c r="A7" s="227" t="s">
        <v>95</v>
      </c>
      <c r="B7" s="227" t="s">
        <v>250</v>
      </c>
      <c r="C7" s="196" t="s">
        <v>82</v>
      </c>
      <c r="D7" s="198"/>
      <c r="E7" s="181" t="s">
        <v>70</v>
      </c>
      <c r="F7" s="181" t="s">
        <v>71</v>
      </c>
      <c r="G7" s="181"/>
      <c r="H7" s="181"/>
      <c r="I7" s="181" t="s">
        <v>92</v>
      </c>
      <c r="J7" s="16"/>
    </row>
    <row r="8" spans="1:10" ht="16.5">
      <c r="A8" s="227"/>
      <c r="B8" s="227"/>
      <c r="C8" s="18" t="s">
        <v>73</v>
      </c>
      <c r="D8" s="18" t="s">
        <v>74</v>
      </c>
      <c r="E8" s="181"/>
      <c r="F8" s="18" t="s">
        <v>73</v>
      </c>
      <c r="G8" s="18" t="s">
        <v>74</v>
      </c>
      <c r="H8" s="18" t="s">
        <v>75</v>
      </c>
      <c r="I8" s="181"/>
      <c r="J8" s="16"/>
    </row>
    <row r="9" spans="1:10" ht="11.25" customHeight="1">
      <c r="A9" s="18" t="s">
        <v>83</v>
      </c>
      <c r="B9" s="18" t="s">
        <v>84</v>
      </c>
      <c r="C9" s="18" t="s">
        <v>85</v>
      </c>
      <c r="D9" s="18" t="s">
        <v>99</v>
      </c>
      <c r="E9" s="18" t="s">
        <v>86</v>
      </c>
      <c r="F9" s="18">
        <v>1</v>
      </c>
      <c r="G9" s="18">
        <v>2</v>
      </c>
      <c r="H9" s="18">
        <v>3</v>
      </c>
      <c r="I9" s="18" t="s">
        <v>93</v>
      </c>
      <c r="J9" s="16"/>
    </row>
    <row r="10" spans="1:10" ht="16.5">
      <c r="A10" s="2"/>
      <c r="B10" s="20"/>
      <c r="C10" s="20"/>
      <c r="D10" s="20"/>
      <c r="E10" s="18" t="s">
        <v>94</v>
      </c>
      <c r="F10" s="20"/>
      <c r="G10" s="20"/>
      <c r="H10" s="158">
        <v>438010</v>
      </c>
      <c r="I10" s="17"/>
    </row>
    <row r="11" spans="1:10" ht="20.25" customHeight="1">
      <c r="A11" s="55">
        <v>46037</v>
      </c>
      <c r="B11" s="55">
        <v>46037</v>
      </c>
      <c r="C11" s="153" t="str">
        <f>IF(AND(LEFT(E11,3)&lt;&gt;"Chi",E11&lt;&gt;""),"PT2026/"&amp;TEXT(COUNTIF($E$11:E11,"&lt;&gt;Chi*"),"00"),"")</f>
        <v/>
      </c>
      <c r="D11" s="56" t="str">
        <f>IF(AND(LEFT(E11,3)="Chi",E11&lt;&gt;""),"PC2026/"&amp;TEXT(COUNTIF($E$11:E11,"Chi*"),"00"),"")</f>
        <v>PC2026/01</v>
      </c>
      <c r="E11" s="57" t="s">
        <v>393</v>
      </c>
      <c r="F11" s="117"/>
      <c r="G11" s="118">
        <v>300000</v>
      </c>
      <c r="H11" s="120">
        <f>H10+F11-G11</f>
        <v>138010</v>
      </c>
      <c r="I11" s="17"/>
    </row>
    <row r="12" spans="1:10" ht="21" customHeight="1">
      <c r="A12" s="55">
        <v>46175</v>
      </c>
      <c r="B12" s="55">
        <v>46175</v>
      </c>
      <c r="C12" s="153" t="str">
        <f>IF(AND(LEFT(E12,3)&lt;&gt;"Chi",E12&lt;&gt;""),"PT2026/"&amp;TEXT(COUNTIF($E$11:E12,"&lt;&gt;Chi*"),"00"),"")</f>
        <v>PT2026/01</v>
      </c>
      <c r="D12" s="56" t="str">
        <f>IF(AND(LEFT(E12,3)="Chi",E12&lt;&gt;""),"PC2026/"&amp;TEXT(COUNTIF($E$11:E12,"Chi*"),"00"),"")</f>
        <v/>
      </c>
      <c r="E12" s="57" t="s">
        <v>564</v>
      </c>
      <c r="F12" s="157">
        <v>3639150</v>
      </c>
      <c r="G12" s="120"/>
      <c r="H12" s="120">
        <f t="shared" ref="H12:H32" si="0">H11+F12-G12</f>
        <v>3777160</v>
      </c>
      <c r="I12" s="17"/>
    </row>
    <row r="13" spans="1:10" ht="20.25" customHeight="1">
      <c r="A13" s="55">
        <v>46175</v>
      </c>
      <c r="B13" s="55">
        <v>46175</v>
      </c>
      <c r="C13" s="153" t="str">
        <f>IF(AND(LEFT(E13,3)&lt;&gt;"Chi",E13&lt;&gt;""),"PT2026/"&amp;TEXT(COUNTIF($E$11:E13,"&lt;&gt;Chi*"),"00"),"")</f>
        <v/>
      </c>
      <c r="D13" s="56" t="str">
        <f>IF(AND(LEFT(E13,3)="Chi",E13&lt;&gt;""),"PC2026/"&amp;TEXT(COUNTIF($E$11:E13,"Chi*"),"00"),"")</f>
        <v>PC2026/02</v>
      </c>
      <c r="E13" s="57" t="s">
        <v>432</v>
      </c>
      <c r="F13" s="118"/>
      <c r="G13" s="118">
        <v>300000</v>
      </c>
      <c r="H13" s="120">
        <f t="shared" si="0"/>
        <v>3477160</v>
      </c>
      <c r="I13" s="17"/>
    </row>
    <row r="14" spans="1:10" ht="30">
      <c r="A14" s="55">
        <v>46175</v>
      </c>
      <c r="B14" s="55">
        <v>46175</v>
      </c>
      <c r="C14" s="153" t="str">
        <f>IF(AND(LEFT(E14,3)&lt;&gt;"Chi",E14&lt;&gt;""),"PT2026/"&amp;TEXT(COUNTIF($E$11:E14,"&lt;&gt;Chi*"),"00"),"")</f>
        <v>PT2026/02</v>
      </c>
      <c r="D14" s="56" t="str">
        <f>IF(AND(LEFT(E14,3)="Chi",E14&lt;&gt;""),"PC2026/"&amp;TEXT(COUNTIF($E$11:E14,"Chi*"),"00"),"")</f>
        <v/>
      </c>
      <c r="E14" s="57" t="s">
        <v>615</v>
      </c>
      <c r="F14" s="147">
        <v>143000</v>
      </c>
      <c r="G14" s="118"/>
      <c r="H14" s="120">
        <f t="shared" si="0"/>
        <v>3620160</v>
      </c>
      <c r="I14" s="17"/>
    </row>
    <row r="15" spans="1:10" ht="20.25" customHeight="1">
      <c r="A15" s="55">
        <v>46063</v>
      </c>
      <c r="B15" s="55">
        <v>46063</v>
      </c>
      <c r="C15" s="153" t="str">
        <f>IF(AND(LEFT(E15,3)&lt;&gt;"Chi",E15&lt;&gt;""),"PT2026/"&amp;TEXT(COUNTIF($E$11:E15,"&lt;&gt;Chi*"),"00"),"")</f>
        <v>PT2026/03</v>
      </c>
      <c r="D15" s="56" t="str">
        <f>IF(AND(LEFT(E15,3)="Chi",E15&lt;&gt;""),"PC2026/"&amp;TEXT(COUNTIF($E$11:E15,"Chi*"),"00"),"")</f>
        <v/>
      </c>
      <c r="E15" s="57" t="s">
        <v>222</v>
      </c>
      <c r="F15" s="157">
        <v>5800000</v>
      </c>
      <c r="G15" s="118"/>
      <c r="H15" s="120">
        <f t="shared" si="0"/>
        <v>9420160</v>
      </c>
      <c r="I15" s="17"/>
    </row>
    <row r="16" spans="1:10" ht="20.25" customHeight="1">
      <c r="A16" s="55">
        <v>46063</v>
      </c>
      <c r="B16" s="55">
        <v>46063</v>
      </c>
      <c r="C16" s="153" t="str">
        <f>IF(AND(LEFT(E16,3)&lt;&gt;"Chi",E16&lt;&gt;""),"PT2026/"&amp;TEXT(COUNTIF($E$11:E16,"&lt;&gt;Chi*"),"00"),"")</f>
        <v/>
      </c>
      <c r="D16" s="56" t="str">
        <f>IF(AND(LEFT(E16,3)="Chi",E16&lt;&gt;""),"PC2026/"&amp;TEXT(COUNTIF($E$11:E16,"Chi*"),"00"),"")</f>
        <v>PC2026/03</v>
      </c>
      <c r="E16" s="57" t="s">
        <v>587</v>
      </c>
      <c r="F16" s="170"/>
      <c r="G16" s="118">
        <v>8000000</v>
      </c>
      <c r="H16" s="120">
        <f t="shared" si="0"/>
        <v>1420160</v>
      </c>
      <c r="I16" s="17"/>
    </row>
    <row r="17" spans="1:10" ht="20.25" customHeight="1">
      <c r="A17" s="55">
        <v>46065</v>
      </c>
      <c r="B17" s="55">
        <v>46065</v>
      </c>
      <c r="C17" s="153" t="str">
        <f>IF(AND(LEFT(E17,3)&lt;&gt;"Chi",E17&lt;&gt;""),"PT2026/"&amp;TEXT(COUNTIF($E$11:E17,"&lt;&gt;Chi*"),"00"),"")</f>
        <v/>
      </c>
      <c r="D17" s="56" t="str">
        <f>IF(AND(LEFT(E17,3)="Chi",E17&lt;&gt;""),"PC2026/"&amp;TEXT(COUNTIF($E$11:E17,"Chi*"),"00"),"")</f>
        <v>PC2026/04</v>
      </c>
      <c r="E17" s="57" t="s">
        <v>585</v>
      </c>
      <c r="F17" s="170"/>
      <c r="G17" s="118">
        <v>300000</v>
      </c>
      <c r="H17" s="120">
        <f t="shared" si="0"/>
        <v>1120160</v>
      </c>
      <c r="I17" s="17"/>
    </row>
    <row r="18" spans="1:10" ht="20.25" customHeight="1">
      <c r="A18" s="55">
        <v>46076</v>
      </c>
      <c r="B18" s="55">
        <v>46076</v>
      </c>
      <c r="C18" s="153" t="str">
        <f>IF(AND(LEFT(E18,3)&lt;&gt;"Chi",E18&lt;&gt;""),"PT2026/"&amp;TEXT(COUNTIF($E$11:E18,"&lt;&gt;Chi*"),"00"),"")</f>
        <v/>
      </c>
      <c r="D18" s="56" t="str">
        <f>IF(AND(LEFT(E18,3)="Chi",E18&lt;&gt;""),"PC2026/"&amp;TEXT(COUNTIF($E$11:E18,"Chi*"),"00"),"")</f>
        <v>PC2026/05</v>
      </c>
      <c r="E18" s="57" t="s">
        <v>586</v>
      </c>
      <c r="F18" s="170"/>
      <c r="G18" s="118">
        <v>300000</v>
      </c>
      <c r="H18" s="120">
        <f t="shared" si="0"/>
        <v>820160</v>
      </c>
      <c r="I18" s="17"/>
    </row>
    <row r="19" spans="1:10" ht="20.25" customHeight="1">
      <c r="A19" s="55">
        <v>46145</v>
      </c>
      <c r="B19" s="55">
        <v>46145</v>
      </c>
      <c r="C19" s="153" t="str">
        <f>IF(AND(LEFT(E19,3)&lt;&gt;"Chi",E19&lt;&gt;""),"PT2026/"&amp;TEXT(COUNTIF($E$11:E19,"&lt;&gt;Chi*"),"00"),"")</f>
        <v/>
      </c>
      <c r="D19" s="56" t="str">
        <f>IF(AND(LEFT(E19,3)="Chi",E19&lt;&gt;""),"PC2026/"&amp;TEXT(COUNTIF($E$11:E19,"Chi*"),"00"),"")</f>
        <v>PC2026/06</v>
      </c>
      <c r="E19" s="57" t="s">
        <v>616</v>
      </c>
      <c r="F19" s="118"/>
      <c r="G19" s="118">
        <v>300000</v>
      </c>
      <c r="H19" s="120">
        <f t="shared" si="0"/>
        <v>520160</v>
      </c>
      <c r="I19" s="17"/>
    </row>
    <row r="20" spans="1:10" ht="20.25" customHeight="1">
      <c r="A20" s="55">
        <v>46329</v>
      </c>
      <c r="B20" s="55">
        <v>46329</v>
      </c>
      <c r="C20" s="153" t="str">
        <f>IF(AND(LEFT(E20,3)&lt;&gt;"Chi",E20&lt;&gt;""),"PT2026/"&amp;TEXT(COUNTIF($E$11:E20,"&lt;&gt;Chi*"),"00"),"")</f>
        <v/>
      </c>
      <c r="D20" s="56" t="str">
        <f>IF(AND(LEFT(E20,3)="Chi",E20&lt;&gt;""),"PC2026/"&amp;TEXT(COUNTIF($E$11:E20,"Chi*"),"00"),"")</f>
        <v>PC2026/07</v>
      </c>
      <c r="E20" s="57" t="s">
        <v>589</v>
      </c>
      <c r="F20" s="60"/>
      <c r="G20" s="118">
        <v>300000</v>
      </c>
      <c r="H20" s="120">
        <f t="shared" si="0"/>
        <v>220160</v>
      </c>
      <c r="I20" s="17"/>
    </row>
    <row r="21" spans="1:10" ht="20.25" customHeight="1">
      <c r="A21" s="55">
        <v>46026</v>
      </c>
      <c r="B21" s="55">
        <v>46026</v>
      </c>
      <c r="C21" s="153" t="str">
        <f>IF(AND(LEFT(E21,3)&lt;&gt;"Chi",E21&lt;&gt;""),"PT2026/"&amp;TEXT(COUNTIF($E$11:E21,"&lt;&gt;Chi*"),"00"),"")</f>
        <v>PT2026/04</v>
      </c>
      <c r="D21" s="56" t="str">
        <f>IF(AND(LEFT(E21,3)="Chi",E21&lt;&gt;""),"PC2026/"&amp;TEXT(COUNTIF($E$11:E21,"Chi*"),"00"),"")</f>
        <v/>
      </c>
      <c r="E21" s="57" t="s">
        <v>617</v>
      </c>
      <c r="F21" s="147">
        <v>3967650</v>
      </c>
      <c r="G21" s="118"/>
      <c r="H21" s="120">
        <f t="shared" si="0"/>
        <v>4187810</v>
      </c>
      <c r="I21" s="17"/>
    </row>
    <row r="22" spans="1:10" ht="20.25" customHeight="1">
      <c r="A22" s="55">
        <v>46026</v>
      </c>
      <c r="B22" s="55">
        <v>46026</v>
      </c>
      <c r="C22" s="153" t="str">
        <f>IF(AND(LEFT(E22,3)&lt;&gt;"Chi",E22&lt;&gt;""),"PT2026/"&amp;TEXT(COUNTIF($E$11:E22,"&lt;&gt;Chi*"),"00"),"")</f>
        <v/>
      </c>
      <c r="D22" s="56" t="str">
        <f>IF(AND(LEFT(E22,3)="Chi",E22&lt;&gt;""),"PC2026/"&amp;TEXT(COUNTIF($E$11:E22,"Chi*"),"00"),"")</f>
        <v>PC2026/08</v>
      </c>
      <c r="E22" s="57" t="s">
        <v>406</v>
      </c>
      <c r="F22" s="120"/>
      <c r="G22" s="120">
        <v>4000000</v>
      </c>
      <c r="H22" s="120">
        <f t="shared" si="0"/>
        <v>187810</v>
      </c>
      <c r="I22" s="17"/>
      <c r="J22" s="95"/>
    </row>
    <row r="23" spans="1:10" ht="20.25" customHeight="1">
      <c r="A23" s="55" t="s">
        <v>636</v>
      </c>
      <c r="B23" s="55" t="s">
        <v>636</v>
      </c>
      <c r="C23" s="153" t="str">
        <f>IF(AND(LEFT(E23,3)&lt;&gt;"Chi",E23&lt;&gt;""),"PT2026/"&amp;TEXT(COUNTIF($E$11:E23,"&lt;&gt;Chi*"),"00"),"")</f>
        <v>PT2026/05</v>
      </c>
      <c r="D23" s="56" t="str">
        <f>IF(AND(LEFT(E23,3)="Chi",E23&lt;&gt;""),"PC2026/"&amp;TEXT(COUNTIF($E$11:E23,"Chi*"),"00"),"")</f>
        <v/>
      </c>
      <c r="E23" s="57" t="s">
        <v>222</v>
      </c>
      <c r="F23" s="157">
        <v>15500000</v>
      </c>
      <c r="G23" s="118"/>
      <c r="H23" s="120">
        <f t="shared" si="0"/>
        <v>15687810</v>
      </c>
      <c r="I23" s="17"/>
    </row>
    <row r="24" spans="1:10" ht="20.25" customHeight="1">
      <c r="A24" s="55" t="s">
        <v>636</v>
      </c>
      <c r="B24" s="55" t="s">
        <v>636</v>
      </c>
      <c r="C24" s="153" t="str">
        <f>IF(AND(LEFT(E24,3)&lt;&gt;"Chi",E24&lt;&gt;""),"PT2026/"&amp;TEXT(COUNTIF($E$11:E24,"&lt;&gt;Chi*"),"00"),"")</f>
        <v/>
      </c>
      <c r="D24" s="56" t="str">
        <f>IF(AND(LEFT(E24,3)="Chi",E24&lt;&gt;""),"PC2026/"&amp;TEXT(COUNTIF($E$11:E24,"Chi*"),"00"),"")</f>
        <v>PC2026/09</v>
      </c>
      <c r="E24" s="57" t="s">
        <v>429</v>
      </c>
      <c r="F24" s="120"/>
      <c r="G24" s="120">
        <v>300000</v>
      </c>
      <c r="H24" s="120">
        <f t="shared" si="0"/>
        <v>15387810</v>
      </c>
      <c r="I24" s="17"/>
    </row>
    <row r="25" spans="1:10" ht="20.25" customHeight="1">
      <c r="A25" s="55" t="s">
        <v>636</v>
      </c>
      <c r="B25" s="55" t="s">
        <v>636</v>
      </c>
      <c r="C25" s="153" t="str">
        <f>IF(AND(LEFT(E25,3)&lt;&gt;"Chi",E25&lt;&gt;""),"PT2026/"&amp;TEXT(COUNTIF($E$11:E25,"&lt;&gt;Chi*"),"00"),"")</f>
        <v/>
      </c>
      <c r="D25" s="56" t="str">
        <f>IF(AND(LEFT(E25,3)="Chi",E25&lt;&gt;""),"PC2026/"&amp;TEXT(COUNTIF($E$11:E25,"Chi*"),"00"),"")</f>
        <v>PC2026/10</v>
      </c>
      <c r="E25" s="57" t="s">
        <v>618</v>
      </c>
      <c r="F25" s="120"/>
      <c r="G25" s="120">
        <v>300000</v>
      </c>
      <c r="H25" s="120">
        <f t="shared" si="0"/>
        <v>15087810</v>
      </c>
      <c r="I25" s="17"/>
    </row>
    <row r="26" spans="1:10" ht="20.25" customHeight="1">
      <c r="A26" s="55" t="s">
        <v>636</v>
      </c>
      <c r="B26" s="55" t="s">
        <v>636</v>
      </c>
      <c r="C26" s="153" t="str">
        <f>IF(AND(LEFT(E26,3)&lt;&gt;"Chi",E26&lt;&gt;""),"PT2026/"&amp;TEXT(COUNTIF($E$11:E26,"&lt;&gt;Chi*"),"00"),"")</f>
        <v/>
      </c>
      <c r="D26" s="56" t="str">
        <f>IF(AND(LEFT(E26,3)="Chi",E26&lt;&gt;""),"PC2026/"&amp;TEXT(COUNTIF($E$11:E26,"Chi*"),"00"),"")</f>
        <v>PC2026/11</v>
      </c>
      <c r="E26" s="57" t="s">
        <v>619</v>
      </c>
      <c r="F26" s="120"/>
      <c r="G26" s="120">
        <v>300000</v>
      </c>
      <c r="H26" s="120">
        <f t="shared" si="0"/>
        <v>14787810</v>
      </c>
      <c r="I26" s="17"/>
    </row>
    <row r="27" spans="1:10" ht="21" customHeight="1">
      <c r="A27" s="55" t="s">
        <v>636</v>
      </c>
      <c r="B27" s="55" t="s">
        <v>636</v>
      </c>
      <c r="C27" s="153" t="str">
        <f>IF(AND(LEFT(E27,3)&lt;&gt;"Chi",E27&lt;&gt;""),"PT2026/"&amp;TEXT(COUNTIF($E$11:E27,"&lt;&gt;Chi*"),"00"),"")</f>
        <v/>
      </c>
      <c r="D27" s="56" t="str">
        <f>IF(AND(LEFT(E27,3)="Chi",E27&lt;&gt;""),"PC2026/"&amp;TEXT(COUNTIF($E$11:E27,"Chi*"),"00"),"")</f>
        <v>PC2026/12</v>
      </c>
      <c r="E27" s="57" t="s">
        <v>620</v>
      </c>
      <c r="F27" s="120"/>
      <c r="G27" s="120">
        <v>300000</v>
      </c>
      <c r="H27" s="120">
        <f t="shared" si="0"/>
        <v>14487810</v>
      </c>
      <c r="I27" s="17"/>
    </row>
    <row r="28" spans="1:10" ht="21" customHeight="1">
      <c r="A28" s="55" t="s">
        <v>636</v>
      </c>
      <c r="B28" s="55" t="s">
        <v>636</v>
      </c>
      <c r="C28" s="153" t="str">
        <f>IF(AND(LEFT(E28,3)&lt;&gt;"Chi",E28&lt;&gt;""),"PT2026/"&amp;TEXT(COUNTIF($E$11:E28,"&lt;&gt;Chi*"),"00"),"")</f>
        <v/>
      </c>
      <c r="D28" s="56" t="str">
        <f>IF(AND(LEFT(E28,3)="Chi",E28&lt;&gt;""),"PC2026/"&amp;TEXT(COUNTIF($E$11:E28,"Chi*"),"00"),"")</f>
        <v>PC2026/13</v>
      </c>
      <c r="E28" s="57" t="s">
        <v>621</v>
      </c>
      <c r="F28" s="120"/>
      <c r="G28" s="120">
        <v>300000</v>
      </c>
      <c r="H28" s="120">
        <f t="shared" si="0"/>
        <v>14187810</v>
      </c>
      <c r="I28" s="17"/>
    </row>
    <row r="29" spans="1:10" ht="21" customHeight="1">
      <c r="A29" s="55" t="s">
        <v>636</v>
      </c>
      <c r="B29" s="55" t="s">
        <v>636</v>
      </c>
      <c r="C29" s="153" t="str">
        <f>IF(AND(LEFT(E29,3)&lt;&gt;"Chi",E29&lt;&gt;""),"PT2026/"&amp;TEXT(COUNTIF($E$11:E29,"&lt;&gt;Chi*"),"00"),"")</f>
        <v/>
      </c>
      <c r="D29" s="56" t="str">
        <f>IF(AND(LEFT(E29,3)="Chi",E29&lt;&gt;""),"PC2026/"&amp;TEXT(COUNTIF($E$11:E29,"Chi*"),"00"),"")</f>
        <v>PC2026/14</v>
      </c>
      <c r="E29" s="57" t="s">
        <v>622</v>
      </c>
      <c r="F29" s="120"/>
      <c r="G29" s="120">
        <v>300000</v>
      </c>
      <c r="H29" s="120">
        <f t="shared" si="0"/>
        <v>13887810</v>
      </c>
      <c r="I29" s="17"/>
    </row>
    <row r="30" spans="1:10" ht="21" customHeight="1">
      <c r="A30" s="55" t="s">
        <v>636</v>
      </c>
      <c r="B30" s="55" t="s">
        <v>636</v>
      </c>
      <c r="C30" s="153" t="str">
        <f>IF(AND(LEFT(E30,3)&lt;&gt;"Chi",E30&lt;&gt;""),"PT2026/"&amp;TEXT(COUNTIF($E$11:E30,"&lt;&gt;Chi*"),"00"),"")</f>
        <v/>
      </c>
      <c r="D30" s="56" t="str">
        <f>IF(AND(LEFT(E30,3)="Chi",E30&lt;&gt;""),"PC2026/"&amp;TEXT(COUNTIF($E$11:E30,"Chi*"),"00"),"")</f>
        <v>PC2026/15</v>
      </c>
      <c r="E30" s="57" t="s">
        <v>623</v>
      </c>
      <c r="F30" s="120"/>
      <c r="G30" s="120">
        <v>300000</v>
      </c>
      <c r="H30" s="120">
        <f t="shared" si="0"/>
        <v>13587810</v>
      </c>
      <c r="I30" s="17"/>
    </row>
    <row r="31" spans="1:10" ht="21" customHeight="1">
      <c r="A31" s="55" t="s">
        <v>636</v>
      </c>
      <c r="B31" s="55" t="s">
        <v>636</v>
      </c>
      <c r="C31" s="153" t="str">
        <f>IF(AND(LEFT(E31,3)&lt;&gt;"Chi",E31&lt;&gt;""),"PT2026/"&amp;TEXT(COUNTIF($E$11:E31,"&lt;&gt;Chi*"),"00"),"")</f>
        <v/>
      </c>
      <c r="D31" s="56" t="str">
        <f>IF(AND(LEFT(E31,3)="Chi",E31&lt;&gt;""),"PC2026/"&amp;TEXT(COUNTIF($E$11:E31,"Chi*"),"00"),"")</f>
        <v>PC2026/16</v>
      </c>
      <c r="E31" s="57" t="s">
        <v>624</v>
      </c>
      <c r="F31" s="120"/>
      <c r="G31" s="120">
        <v>300000</v>
      </c>
      <c r="H31" s="120">
        <f t="shared" si="0"/>
        <v>13287810</v>
      </c>
      <c r="I31" s="17"/>
    </row>
    <row r="32" spans="1:10" ht="21" customHeight="1">
      <c r="A32" s="55" t="s">
        <v>636</v>
      </c>
      <c r="B32" s="55" t="s">
        <v>636</v>
      </c>
      <c r="C32" s="153" t="str">
        <f>IF(AND(LEFT(E32,3)&lt;&gt;"Chi",E32&lt;&gt;""),"PT2026/"&amp;TEXT(COUNTIF($E$11:E32,"&lt;&gt;Chi*"),"00"),"")</f>
        <v/>
      </c>
      <c r="D32" s="56" t="str">
        <f>IF(AND(LEFT(E32,3)="Chi",E32&lt;&gt;""),"PC2026/"&amp;TEXT(COUNTIF($E$11:E32,"Chi*"),"00"),"")</f>
        <v>PC2026/17</v>
      </c>
      <c r="E32" s="57" t="s">
        <v>625</v>
      </c>
      <c r="F32" s="120"/>
      <c r="G32" s="120">
        <v>8000000</v>
      </c>
      <c r="H32" s="120">
        <f t="shared" si="0"/>
        <v>5287810</v>
      </c>
      <c r="I32" s="17"/>
    </row>
    <row r="33" spans="1:9" ht="21" customHeight="1">
      <c r="A33" s="55" t="s">
        <v>636</v>
      </c>
      <c r="B33" s="55" t="s">
        <v>636</v>
      </c>
      <c r="C33" s="153" t="str">
        <f>IF(AND(LEFT(E33,3)&lt;&gt;"Chi",E33&lt;&gt;""),"PT2026/"&amp;TEXT(COUNTIF($E$11:E33,"&lt;&gt;Chi*"),"00"),"")</f>
        <v/>
      </c>
      <c r="D33" s="56" t="str">
        <f>IF(AND(LEFT(E33,3)="Chi",E33&lt;&gt;""),"PC2026/"&amp;TEXT(COUNTIF($E$11:E33,"Chi*"),"00"),"")</f>
        <v>PC2026/18</v>
      </c>
      <c r="E33" s="57" t="s">
        <v>626</v>
      </c>
      <c r="F33" s="120"/>
      <c r="G33" s="120">
        <v>300000</v>
      </c>
      <c r="H33" s="120">
        <f t="shared" ref="H33:H45" si="1">H32+F33-G33</f>
        <v>4987810</v>
      </c>
      <c r="I33" s="17"/>
    </row>
    <row r="34" spans="1:9" ht="21" customHeight="1">
      <c r="A34" s="55" t="s">
        <v>636</v>
      </c>
      <c r="B34" s="55" t="s">
        <v>636</v>
      </c>
      <c r="C34" s="153" t="str">
        <f>IF(AND(LEFT(E34,3)&lt;&gt;"Chi",E34&lt;&gt;""),"PT2026/"&amp;TEXT(COUNTIF($E$11:E34,"&lt;&gt;Chi*"),"00"),"")</f>
        <v/>
      </c>
      <c r="D34" s="56" t="str">
        <f>IF(AND(LEFT(E34,3)="Chi",E34&lt;&gt;""),"PC2026/"&amp;TEXT(COUNTIF($E$11:E34,"Chi*"),"00"),"")</f>
        <v>PC2026/19</v>
      </c>
      <c r="E34" s="57" t="s">
        <v>627</v>
      </c>
      <c r="F34" s="120"/>
      <c r="G34" s="120">
        <v>300000</v>
      </c>
      <c r="H34" s="120">
        <f t="shared" si="1"/>
        <v>4687810</v>
      </c>
      <c r="I34" s="17"/>
    </row>
    <row r="35" spans="1:9" ht="21" customHeight="1">
      <c r="A35" s="55" t="s">
        <v>636</v>
      </c>
      <c r="B35" s="55" t="s">
        <v>636</v>
      </c>
      <c r="C35" s="153" t="str">
        <f>IF(AND(LEFT(E35,3)&lt;&gt;"Chi",E35&lt;&gt;""),"PT2025/"&amp;TEXT(COUNTIF($E$11:E35,"&lt;&gt;Chi*"),"00"),"")</f>
        <v/>
      </c>
      <c r="D35" s="56" t="str">
        <f>IF(AND(LEFT(E35,3)="Chi",E35&lt;&gt;""),"PC2026/"&amp;TEXT(COUNTIF($E$11:E35,"Chi*"),"00"),"")</f>
        <v>PC2026/20</v>
      </c>
      <c r="E35" s="57" t="s">
        <v>628</v>
      </c>
      <c r="F35" s="120"/>
      <c r="G35" s="120">
        <v>300000</v>
      </c>
      <c r="H35" s="120">
        <f t="shared" si="1"/>
        <v>4387810</v>
      </c>
      <c r="I35" s="17"/>
    </row>
    <row r="36" spans="1:9" ht="21" customHeight="1">
      <c r="A36" s="55" t="s">
        <v>636</v>
      </c>
      <c r="B36" s="55" t="s">
        <v>636</v>
      </c>
      <c r="C36" s="153" t="str">
        <f>IF(AND(LEFT(E36,3)&lt;&gt;"Chi",E36&lt;&gt;""),"PT2025/"&amp;TEXT(COUNTIF($E$11:E36,"&lt;&gt;Chi*"),"00"),"")</f>
        <v/>
      </c>
      <c r="D36" s="56" t="str">
        <f>IF(AND(LEFT(E36,3)="Chi",E36&lt;&gt;""),"PC2025/"&amp;TEXT(COUNTIF($E$11:E36,"Chi*"),"00"),"")</f>
        <v>PC2025/21</v>
      </c>
      <c r="E36" s="57" t="s">
        <v>629</v>
      </c>
      <c r="F36" s="120"/>
      <c r="G36" s="120">
        <v>300000</v>
      </c>
      <c r="H36" s="120">
        <f t="shared" si="1"/>
        <v>4087810</v>
      </c>
      <c r="I36" s="17"/>
    </row>
    <row r="37" spans="1:9" ht="21" customHeight="1">
      <c r="A37" s="55" t="s">
        <v>636</v>
      </c>
      <c r="B37" s="55" t="s">
        <v>636</v>
      </c>
      <c r="C37" s="153" t="str">
        <f>IF(AND(LEFT(E37,3)&lt;&gt;"Chi",E37&lt;&gt;""),"PT2025/"&amp;TEXT(COUNTIF($E$11:E37,"&lt;&gt;Chi*"),"00"),"")</f>
        <v/>
      </c>
      <c r="D37" s="56" t="str">
        <f>IF(AND(LEFT(E37,3)="Chi",E37&lt;&gt;""),"PC2025/"&amp;TEXT(COUNTIF($E$11:E37,"Chi*"),"00"),"")</f>
        <v>PC2025/22</v>
      </c>
      <c r="E37" s="57" t="s">
        <v>437</v>
      </c>
      <c r="F37" s="120"/>
      <c r="G37" s="120">
        <v>300000</v>
      </c>
      <c r="H37" s="120">
        <f t="shared" si="1"/>
        <v>3787810</v>
      </c>
      <c r="I37" s="17"/>
    </row>
    <row r="38" spans="1:9" ht="21" customHeight="1">
      <c r="A38" s="55" t="s">
        <v>636</v>
      </c>
      <c r="B38" s="55" t="s">
        <v>636</v>
      </c>
      <c r="C38" s="153" t="str">
        <f>IF(AND(LEFT(E38,3)&lt;&gt;"Chi",E38&lt;&gt;""),"PT2025/"&amp;TEXT(COUNTIF($E$11:E38,"&lt;&gt;Chi*"),"00"),"")</f>
        <v/>
      </c>
      <c r="D38" s="56" t="str">
        <f>IF(AND(LEFT(E38,3)="Chi",E38&lt;&gt;""),"PC2025/"&amp;TEXT(COUNTIF($E$11:E38,"Chi*"),"00"),"")</f>
        <v>PC2025/23</v>
      </c>
      <c r="E38" s="57" t="s">
        <v>443</v>
      </c>
      <c r="F38" s="120"/>
      <c r="G38" s="120">
        <v>300000</v>
      </c>
      <c r="H38" s="120">
        <f t="shared" si="1"/>
        <v>3487810</v>
      </c>
      <c r="I38" s="17"/>
    </row>
    <row r="39" spans="1:9" ht="21" customHeight="1">
      <c r="A39" s="55" t="s">
        <v>636</v>
      </c>
      <c r="B39" s="55" t="s">
        <v>636</v>
      </c>
      <c r="C39" s="153" t="str">
        <f>IF(AND(LEFT(E39,3)&lt;&gt;"Chi",E39&lt;&gt;""),"PT2025/"&amp;TEXT(COUNTIF($E$11:E39,"&lt;&gt;Chi*"),"00"),"")</f>
        <v/>
      </c>
      <c r="D39" s="56" t="str">
        <f>IF(AND(LEFT(E39,3)="Chi",E39&lt;&gt;""),"PC2025/"&amp;TEXT(COUNTIF($E$11:E39,"Chi*"),"00"),"")</f>
        <v>PC2025/24</v>
      </c>
      <c r="E39" s="57" t="s">
        <v>444</v>
      </c>
      <c r="F39" s="120"/>
      <c r="G39" s="120">
        <v>300000</v>
      </c>
      <c r="H39" s="120">
        <f t="shared" si="1"/>
        <v>3187810</v>
      </c>
      <c r="I39" s="17"/>
    </row>
    <row r="40" spans="1:9" ht="21" customHeight="1">
      <c r="A40" s="55" t="s">
        <v>636</v>
      </c>
      <c r="B40" s="55" t="s">
        <v>636</v>
      </c>
      <c r="C40" s="153" t="str">
        <f>IF(AND(LEFT(E40,3)&lt;&gt;"Chi",E40&lt;&gt;""),"PT2025/"&amp;TEXT(COUNTIF($E$11:E40,"&lt;&gt;Chi*"),"00"),"")</f>
        <v/>
      </c>
      <c r="D40" s="56" t="str">
        <f>IF(AND(LEFT(E40,3)="Chi",E40&lt;&gt;""),"PC2025/"&amp;TEXT(COUNTIF($E$11:E40,"Chi*"),"00"),"")</f>
        <v>PC2025/25</v>
      </c>
      <c r="E40" s="57" t="s">
        <v>451</v>
      </c>
      <c r="F40" s="120"/>
      <c r="G40" s="120">
        <v>300000</v>
      </c>
      <c r="H40" s="120">
        <f t="shared" si="1"/>
        <v>2887810</v>
      </c>
      <c r="I40" s="17"/>
    </row>
    <row r="41" spans="1:9" ht="21" customHeight="1">
      <c r="A41" s="55" t="s">
        <v>636</v>
      </c>
      <c r="B41" s="55" t="s">
        <v>636</v>
      </c>
      <c r="C41" s="153" t="str">
        <f>IF(AND(LEFT(E41,3)&lt;&gt;"Chi",E41&lt;&gt;""),"PT2025/"&amp;TEXT(COUNTIF($E$11:E41,"&lt;&gt;Chi*"),"00"),"")</f>
        <v/>
      </c>
      <c r="D41" s="56" t="str">
        <f>IF(AND(LEFT(E41,3)="Chi",E41&lt;&gt;""),"PC2025/"&amp;TEXT(COUNTIF($E$11:E41,"Chi*"),"00"),"")</f>
        <v>PC2025/26</v>
      </c>
      <c r="E41" s="57" t="s">
        <v>630</v>
      </c>
      <c r="F41" s="120"/>
      <c r="G41" s="120">
        <v>300000</v>
      </c>
      <c r="H41" s="120">
        <f t="shared" si="1"/>
        <v>2587810</v>
      </c>
      <c r="I41" s="17"/>
    </row>
    <row r="42" spans="1:9" ht="21" customHeight="1">
      <c r="A42" s="55" t="s">
        <v>636</v>
      </c>
      <c r="B42" s="55" t="s">
        <v>636</v>
      </c>
      <c r="C42" s="153" t="str">
        <f>IF(AND(LEFT(E42,3)&lt;&gt;"Chi",E42&lt;&gt;""),"PT2025/"&amp;TEXT(COUNTIF($E$11:E42,"&lt;&gt;Chi*"),"00"),"")</f>
        <v/>
      </c>
      <c r="D42" s="56" t="str">
        <f>IF(AND(LEFT(E42,3)="Chi",E42&lt;&gt;""),"PC2025/"&amp;TEXT(COUNTIF($E$11:E42,"Chi*"),"00"),"")</f>
        <v>PC2025/27</v>
      </c>
      <c r="E42" s="57" t="s">
        <v>631</v>
      </c>
      <c r="F42" s="120"/>
      <c r="G42" s="120">
        <v>300000</v>
      </c>
      <c r="H42" s="120">
        <f t="shared" si="1"/>
        <v>2287810</v>
      </c>
      <c r="I42" s="17"/>
    </row>
    <row r="43" spans="1:9" ht="21" customHeight="1">
      <c r="A43" s="55" t="s">
        <v>640</v>
      </c>
      <c r="B43" s="55" t="s">
        <v>640</v>
      </c>
      <c r="C43" s="153" t="str">
        <f>IF(AND(LEFT(E43,3)&lt;&gt;"Chi",E43&lt;&gt;""),"PT2025/"&amp;TEXT(COUNTIF($E$11:E43,"&lt;&gt;Chi*"),"00"),"")</f>
        <v/>
      </c>
      <c r="D43" s="56" t="str">
        <f>IF(AND(LEFT(E43,3)="Chi",E43&lt;&gt;""),"PC2025/"&amp;TEXT(COUNTIF($E$11:E43,"Chi*"),"00"),"")</f>
        <v>PC2025/28</v>
      </c>
      <c r="E43" s="57" t="s">
        <v>632</v>
      </c>
      <c r="F43" s="120"/>
      <c r="G43" s="120">
        <v>300000</v>
      </c>
      <c r="H43" s="120">
        <f t="shared" si="1"/>
        <v>1987810</v>
      </c>
      <c r="I43" s="17"/>
    </row>
    <row r="44" spans="1:9" ht="21" customHeight="1">
      <c r="A44" s="55" t="s">
        <v>641</v>
      </c>
      <c r="B44" s="55" t="s">
        <v>641</v>
      </c>
      <c r="C44" s="153" t="str">
        <f>IF(AND(LEFT(E44,3)&lt;&gt;"Chi",E44&lt;&gt;""),"PT2025/"&amp;TEXT(COUNTIF($E$11:E44,"&lt;&gt;Chi*"),"00"),"")</f>
        <v/>
      </c>
      <c r="D44" s="56" t="str">
        <f>IF(AND(LEFT(E44,3)="Chi",E44&lt;&gt;""),"PC2025/"&amp;TEXT(COUNTIF($E$11:E44,"Chi*"),"00"),"")</f>
        <v>PC2025/29</v>
      </c>
      <c r="E44" s="57" t="s">
        <v>633</v>
      </c>
      <c r="F44" s="120"/>
      <c r="G44" s="120">
        <v>300000</v>
      </c>
      <c r="H44" s="120">
        <f t="shared" si="1"/>
        <v>1687810</v>
      </c>
      <c r="I44" s="17"/>
    </row>
    <row r="45" spans="1:9" ht="21" customHeight="1">
      <c r="A45" s="55" t="s">
        <v>642</v>
      </c>
      <c r="B45" s="55" t="s">
        <v>642</v>
      </c>
      <c r="C45" s="153" t="str">
        <f>IF(AND(LEFT(E45,3)&lt;&gt;"Chi",E45&lt;&gt;""),"PT2025/"&amp;TEXT(COUNTIF($E$11:E45,"&lt;&gt;Chi*"),"00"),"")</f>
        <v/>
      </c>
      <c r="D45" s="56" t="str">
        <f>IF(AND(LEFT(E45,3)="Chi",E45&lt;&gt;""),"PC2025/"&amp;TEXT(COUNTIF($E$11:E45,"Chi*"),"00"),"")</f>
        <v>PC2025/30</v>
      </c>
      <c r="E45" s="42" t="s">
        <v>634</v>
      </c>
      <c r="F45" s="120"/>
      <c r="G45" s="120">
        <v>300000</v>
      </c>
      <c r="H45" s="120">
        <f t="shared" si="1"/>
        <v>1387810</v>
      </c>
      <c r="I45" s="17"/>
    </row>
    <row r="46" spans="1:9" ht="21" customHeight="1">
      <c r="A46" s="55"/>
      <c r="B46" s="55"/>
      <c r="C46" s="153" t="str">
        <f>IF(AND(LEFT(E46,3)&lt;&gt;"Chi",E46&lt;&gt;""),"PT2025/"&amp;TEXT(COUNTIF($E$11:E46,"&lt;&gt;Chi*"),"00"),"")</f>
        <v/>
      </c>
      <c r="D46" s="56"/>
      <c r="E46" s="57"/>
      <c r="F46" s="120"/>
      <c r="G46" s="120"/>
      <c r="H46" s="120">
        <f t="shared" ref="H46:H49" si="2">H45+F46-G46</f>
        <v>1387810</v>
      </c>
      <c r="I46" s="17"/>
    </row>
    <row r="47" spans="1:9" ht="21" customHeight="1">
      <c r="A47" s="55"/>
      <c r="B47" s="55"/>
      <c r="C47" s="153" t="str">
        <f>IF(AND(LEFT(E47,3)&lt;&gt;"Chi",E47&lt;&gt;""),"PT2025/"&amp;TEXT(COUNTIF($E$11:E47,"&lt;&gt;Chi*"),"00"),"")</f>
        <v/>
      </c>
      <c r="D47" s="56"/>
      <c r="E47" s="57"/>
      <c r="F47" s="120"/>
      <c r="G47" s="120"/>
      <c r="H47" s="120">
        <f t="shared" si="2"/>
        <v>1387810</v>
      </c>
      <c r="I47" s="17"/>
    </row>
    <row r="48" spans="1:9" ht="21" customHeight="1">
      <c r="A48" s="55"/>
      <c r="B48" s="55"/>
      <c r="C48" s="153" t="str">
        <f>IF(AND(LEFT(E48,3)&lt;&gt;"Chi",E48&lt;&gt;""),"PT2025/"&amp;TEXT(COUNTIF($E$11:E48,"&lt;&gt;Chi*"),"00"),"")</f>
        <v/>
      </c>
      <c r="D48" s="56"/>
      <c r="E48" s="57"/>
      <c r="F48" s="120"/>
      <c r="G48" s="120"/>
      <c r="H48" s="120">
        <f t="shared" si="2"/>
        <v>1387810</v>
      </c>
      <c r="I48" s="17"/>
    </row>
    <row r="49" spans="1:9" ht="21" customHeight="1">
      <c r="A49" s="55"/>
      <c r="B49" s="55"/>
      <c r="C49" s="153" t="str">
        <f>IF(AND(LEFT(E49,3)&lt;&gt;"Chi",E49&lt;&gt;""),"PT2025/"&amp;TEXT(COUNTIF($E$11:E49,"&lt;&gt;Chi*"),"00"),"")</f>
        <v/>
      </c>
      <c r="D49" s="56"/>
      <c r="E49" s="42"/>
      <c r="F49" s="120"/>
      <c r="G49" s="120"/>
      <c r="H49" s="120">
        <f t="shared" si="2"/>
        <v>1387810</v>
      </c>
      <c r="I49" s="17"/>
    </row>
    <row r="50" spans="1:9" ht="21.75" customHeight="1">
      <c r="A50" s="124"/>
      <c r="B50" s="124"/>
      <c r="C50" s="153" t="str">
        <f>IF(AND(LEFT(E50,3)&lt;&gt;"Chi",E50&lt;&gt;""),"PT2026/"&amp;TEXT(COUNTIF($E$11:E50,"&lt;&gt;Chi*"),"00"),"")</f>
        <v/>
      </c>
      <c r="D50" s="56" t="str">
        <f>IF(AND(LEFT(E50,3)="Chi",E50&lt;&gt;""),"PC2025/"&amp;TEXT(COUNTIF($E$11:E50,"Chi*"),"00"),"")</f>
        <v/>
      </c>
      <c r="E50" s="57"/>
      <c r="F50" s="60"/>
      <c r="G50" s="171"/>
      <c r="H50" s="120">
        <f>H45+F50-G50</f>
        <v>1387810</v>
      </c>
      <c r="I50" s="17"/>
    </row>
    <row r="51" spans="1:9" ht="16.5">
      <c r="A51" s="146"/>
      <c r="B51" s="25"/>
      <c r="C51" s="27"/>
      <c r="D51" s="56" t="str">
        <f>IF(AND(LEFT(E51,3)="Chi",E51&lt;&gt;""),"PC2025/"&amp;TEXT(COUNTIF($E$11:E51,"Chi*"),"00"),"")</f>
        <v/>
      </c>
      <c r="E51" s="99" t="s">
        <v>251</v>
      </c>
      <c r="F51" s="24">
        <f>SUM(F11:F50)</f>
        <v>29049800</v>
      </c>
      <c r="G51" s="24">
        <f>SUM(G11:G50)</f>
        <v>28100000</v>
      </c>
      <c r="H51" s="23"/>
      <c r="I51" s="17"/>
    </row>
    <row r="52" spans="1:9" ht="15.75">
      <c r="A52" s="2"/>
      <c r="B52" s="2"/>
      <c r="C52" s="98"/>
      <c r="D52" s="98"/>
      <c r="E52" s="99" t="s">
        <v>176</v>
      </c>
      <c r="F52" s="24"/>
      <c r="G52" s="24"/>
      <c r="H52" s="24">
        <f>H10+F51-G51</f>
        <v>1387810</v>
      </c>
      <c r="I52" s="2"/>
    </row>
    <row r="53" spans="1:9" ht="9.75" customHeight="1"/>
    <row r="54" spans="1:9" ht="15.75">
      <c r="B54" s="31"/>
      <c r="C54" s="31"/>
      <c r="D54" s="31"/>
      <c r="E54" s="31"/>
      <c r="F54" s="178" t="s">
        <v>584</v>
      </c>
      <c r="G54" s="178"/>
      <c r="H54" s="178"/>
      <c r="I54" s="178"/>
    </row>
    <row r="55" spans="1:9" ht="15.75">
      <c r="B55" s="31"/>
      <c r="C55" s="31"/>
      <c r="D55" s="31"/>
      <c r="E55" s="31"/>
      <c r="F55" s="178" t="s">
        <v>101</v>
      </c>
      <c r="G55" s="178"/>
      <c r="H55" s="178"/>
      <c r="I55" s="178"/>
    </row>
    <row r="56" spans="1:9" ht="15.75">
      <c r="B56" s="178" t="s">
        <v>77</v>
      </c>
      <c r="C56" s="178"/>
      <c r="D56" s="178"/>
      <c r="E56" s="32" t="s">
        <v>78</v>
      </c>
      <c r="F56" s="172" t="s">
        <v>252</v>
      </c>
      <c r="G56" s="172"/>
      <c r="H56" s="172"/>
      <c r="I56" s="172"/>
    </row>
    <row r="57" spans="1:9" ht="15.75">
      <c r="B57" s="178" t="s">
        <v>80</v>
      </c>
      <c r="C57" s="178"/>
      <c r="D57" s="178"/>
      <c r="E57" s="32" t="s">
        <v>80</v>
      </c>
      <c r="F57" s="178" t="s">
        <v>81</v>
      </c>
      <c r="G57" s="178"/>
      <c r="H57" s="178"/>
      <c r="I57" s="178"/>
    </row>
    <row r="58" spans="1:9" ht="15.75">
      <c r="B58" s="33"/>
      <c r="C58" s="33"/>
      <c r="D58" s="33"/>
      <c r="E58" s="33"/>
      <c r="F58" s="33"/>
      <c r="G58" s="33"/>
      <c r="H58" s="33"/>
    </row>
    <row r="59" spans="1:9" ht="16.5">
      <c r="B59" s="16"/>
      <c r="C59" s="16"/>
      <c r="D59" s="16"/>
      <c r="E59" s="16"/>
      <c r="F59" s="16"/>
      <c r="G59" s="16"/>
      <c r="H59" s="16"/>
    </row>
    <row r="60" spans="1:9" ht="16.5">
      <c r="B60" s="16"/>
      <c r="C60" s="16"/>
      <c r="D60" s="16"/>
      <c r="E60" s="16"/>
      <c r="F60" s="16"/>
      <c r="G60" s="16"/>
      <c r="H60" s="16"/>
    </row>
    <row r="61" spans="1:9" ht="16.5">
      <c r="B61" s="177" t="s">
        <v>344</v>
      </c>
      <c r="C61" s="177"/>
      <c r="D61" s="177"/>
      <c r="E61" s="62" t="s">
        <v>344</v>
      </c>
      <c r="F61" s="177" t="s">
        <v>345</v>
      </c>
      <c r="G61" s="177"/>
      <c r="H61" s="177"/>
      <c r="I61" s="177"/>
    </row>
    <row r="62" spans="1:9" ht="16.5">
      <c r="B62" s="16"/>
      <c r="C62" s="16"/>
      <c r="D62" s="16"/>
      <c r="E62" s="16"/>
      <c r="F62" s="16"/>
      <c r="G62" s="16"/>
      <c r="H62" s="16"/>
    </row>
    <row r="66" spans="5:5">
      <c r="E66" s="148"/>
    </row>
  </sheetData>
  <autoFilter ref="C8:D52" xr:uid="{00000000-0009-0000-0000-00000C000000}"/>
  <mergeCells count="16">
    <mergeCell ref="B4:I4"/>
    <mergeCell ref="B5:I5"/>
    <mergeCell ref="A7:A8"/>
    <mergeCell ref="B7:B8"/>
    <mergeCell ref="C7:D7"/>
    <mergeCell ref="E7:E8"/>
    <mergeCell ref="F7:H7"/>
    <mergeCell ref="I7:I8"/>
    <mergeCell ref="B61:D61"/>
    <mergeCell ref="F61:I61"/>
    <mergeCell ref="F54:I54"/>
    <mergeCell ref="F55:I55"/>
    <mergeCell ref="B56:D56"/>
    <mergeCell ref="F56:I56"/>
    <mergeCell ref="B57:D57"/>
    <mergeCell ref="F57:I57"/>
  </mergeCells>
  <pageMargins left="0.31496062992125984" right="0.19685039370078741" top="0.19685039370078741" bottom="0.19685039370078741" header="0.16" footer="0.19685039370078741"/>
  <pageSetup paperSize="9" scale="57" fitToHeight="0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0870-9F2E-472E-8F84-E692DEE331E2}">
  <sheetPr>
    <pageSetUpPr fitToPage="1"/>
  </sheetPr>
  <dimension ref="A1:L63"/>
  <sheetViews>
    <sheetView topLeftCell="A22" workbookViewId="0">
      <selection activeCell="A10" sqref="A10"/>
    </sheetView>
  </sheetViews>
  <sheetFormatPr defaultColWidth="9.140625" defaultRowHeight="15"/>
  <cols>
    <col min="1" max="1" width="12.28515625" style="34" customWidth="1"/>
    <col min="2" max="2" width="15" style="34" customWidth="1"/>
    <col min="3" max="3" width="12" style="167" customWidth="1"/>
    <col min="4" max="5" width="14.28515625" style="34" customWidth="1"/>
    <col min="6" max="6" width="16" style="34" customWidth="1"/>
    <col min="7" max="9" width="14.42578125" style="34" customWidth="1"/>
    <col min="10" max="10" width="9.140625" style="34"/>
    <col min="11" max="11" width="17.140625" style="34" customWidth="1"/>
    <col min="12" max="12" width="18.5703125" style="34" customWidth="1"/>
    <col min="13" max="256" width="9.140625" style="34"/>
    <col min="257" max="257" width="11.42578125" style="34" customWidth="1"/>
    <col min="258" max="258" width="11.85546875" style="34" customWidth="1"/>
    <col min="259" max="261" width="14.140625" style="34" customWidth="1"/>
    <col min="262" max="263" width="15.5703125" style="34" customWidth="1"/>
    <col min="264" max="264" width="14.85546875" style="34" customWidth="1"/>
    <col min="265" max="512" width="9.140625" style="34"/>
    <col min="513" max="513" width="11.42578125" style="34" customWidth="1"/>
    <col min="514" max="514" width="11.85546875" style="34" customWidth="1"/>
    <col min="515" max="517" width="14.140625" style="34" customWidth="1"/>
    <col min="518" max="519" width="15.5703125" style="34" customWidth="1"/>
    <col min="520" max="520" width="14.85546875" style="34" customWidth="1"/>
    <col min="521" max="768" width="9.140625" style="34"/>
    <col min="769" max="769" width="11.42578125" style="34" customWidth="1"/>
    <col min="770" max="770" width="11.85546875" style="34" customWidth="1"/>
    <col min="771" max="773" width="14.140625" style="34" customWidth="1"/>
    <col min="774" max="775" width="15.5703125" style="34" customWidth="1"/>
    <col min="776" max="776" width="14.85546875" style="34" customWidth="1"/>
    <col min="777" max="1024" width="9.140625" style="34"/>
    <col min="1025" max="1025" width="11.42578125" style="34" customWidth="1"/>
    <col min="1026" max="1026" width="11.85546875" style="34" customWidth="1"/>
    <col min="1027" max="1029" width="14.140625" style="34" customWidth="1"/>
    <col min="1030" max="1031" width="15.5703125" style="34" customWidth="1"/>
    <col min="1032" max="1032" width="14.85546875" style="34" customWidth="1"/>
    <col min="1033" max="1280" width="9.140625" style="34"/>
    <col min="1281" max="1281" width="11.42578125" style="34" customWidth="1"/>
    <col min="1282" max="1282" width="11.85546875" style="34" customWidth="1"/>
    <col min="1283" max="1285" width="14.140625" style="34" customWidth="1"/>
    <col min="1286" max="1287" width="15.5703125" style="34" customWidth="1"/>
    <col min="1288" max="1288" width="14.85546875" style="34" customWidth="1"/>
    <col min="1289" max="1536" width="9.140625" style="34"/>
    <col min="1537" max="1537" width="11.42578125" style="34" customWidth="1"/>
    <col min="1538" max="1538" width="11.85546875" style="34" customWidth="1"/>
    <col min="1539" max="1541" width="14.140625" style="34" customWidth="1"/>
    <col min="1542" max="1543" width="15.5703125" style="34" customWidth="1"/>
    <col min="1544" max="1544" width="14.85546875" style="34" customWidth="1"/>
    <col min="1545" max="1792" width="9.140625" style="34"/>
    <col min="1793" max="1793" width="11.42578125" style="34" customWidth="1"/>
    <col min="1794" max="1794" width="11.85546875" style="34" customWidth="1"/>
    <col min="1795" max="1797" width="14.140625" style="34" customWidth="1"/>
    <col min="1798" max="1799" width="15.5703125" style="34" customWidth="1"/>
    <col min="1800" max="1800" width="14.85546875" style="34" customWidth="1"/>
    <col min="1801" max="2048" width="9.140625" style="34"/>
    <col min="2049" max="2049" width="11.42578125" style="34" customWidth="1"/>
    <col min="2050" max="2050" width="11.85546875" style="34" customWidth="1"/>
    <col min="2051" max="2053" width="14.140625" style="34" customWidth="1"/>
    <col min="2054" max="2055" width="15.5703125" style="34" customWidth="1"/>
    <col min="2056" max="2056" width="14.85546875" style="34" customWidth="1"/>
    <col min="2057" max="2304" width="9.140625" style="34"/>
    <col min="2305" max="2305" width="11.42578125" style="34" customWidth="1"/>
    <col min="2306" max="2306" width="11.85546875" style="34" customWidth="1"/>
    <col min="2307" max="2309" width="14.140625" style="34" customWidth="1"/>
    <col min="2310" max="2311" width="15.5703125" style="34" customWidth="1"/>
    <col min="2312" max="2312" width="14.85546875" style="34" customWidth="1"/>
    <col min="2313" max="2560" width="9.140625" style="34"/>
    <col min="2561" max="2561" width="11.42578125" style="34" customWidth="1"/>
    <col min="2562" max="2562" width="11.85546875" style="34" customWidth="1"/>
    <col min="2563" max="2565" width="14.140625" style="34" customWidth="1"/>
    <col min="2566" max="2567" width="15.5703125" style="34" customWidth="1"/>
    <col min="2568" max="2568" width="14.85546875" style="34" customWidth="1"/>
    <col min="2569" max="2816" width="9.140625" style="34"/>
    <col min="2817" max="2817" width="11.42578125" style="34" customWidth="1"/>
    <col min="2818" max="2818" width="11.85546875" style="34" customWidth="1"/>
    <col min="2819" max="2821" width="14.140625" style="34" customWidth="1"/>
    <col min="2822" max="2823" width="15.5703125" style="34" customWidth="1"/>
    <col min="2824" max="2824" width="14.85546875" style="34" customWidth="1"/>
    <col min="2825" max="3072" width="9.140625" style="34"/>
    <col min="3073" max="3073" width="11.42578125" style="34" customWidth="1"/>
    <col min="3074" max="3074" width="11.85546875" style="34" customWidth="1"/>
    <col min="3075" max="3077" width="14.140625" style="34" customWidth="1"/>
    <col min="3078" max="3079" width="15.5703125" style="34" customWidth="1"/>
    <col min="3080" max="3080" width="14.85546875" style="34" customWidth="1"/>
    <col min="3081" max="3328" width="9.140625" style="34"/>
    <col min="3329" max="3329" width="11.42578125" style="34" customWidth="1"/>
    <col min="3330" max="3330" width="11.85546875" style="34" customWidth="1"/>
    <col min="3331" max="3333" width="14.140625" style="34" customWidth="1"/>
    <col min="3334" max="3335" width="15.5703125" style="34" customWidth="1"/>
    <col min="3336" max="3336" width="14.85546875" style="34" customWidth="1"/>
    <col min="3337" max="3584" width="9.140625" style="34"/>
    <col min="3585" max="3585" width="11.42578125" style="34" customWidth="1"/>
    <col min="3586" max="3586" width="11.85546875" style="34" customWidth="1"/>
    <col min="3587" max="3589" width="14.140625" style="34" customWidth="1"/>
    <col min="3590" max="3591" width="15.5703125" style="34" customWidth="1"/>
    <col min="3592" max="3592" width="14.85546875" style="34" customWidth="1"/>
    <col min="3593" max="3840" width="9.140625" style="34"/>
    <col min="3841" max="3841" width="11.42578125" style="34" customWidth="1"/>
    <col min="3842" max="3842" width="11.85546875" style="34" customWidth="1"/>
    <col min="3843" max="3845" width="14.140625" style="34" customWidth="1"/>
    <col min="3846" max="3847" width="15.5703125" style="34" customWidth="1"/>
    <col min="3848" max="3848" width="14.85546875" style="34" customWidth="1"/>
    <col min="3849" max="4096" width="9.140625" style="34"/>
    <col min="4097" max="4097" width="11.42578125" style="34" customWidth="1"/>
    <col min="4098" max="4098" width="11.85546875" style="34" customWidth="1"/>
    <col min="4099" max="4101" width="14.140625" style="34" customWidth="1"/>
    <col min="4102" max="4103" width="15.5703125" style="34" customWidth="1"/>
    <col min="4104" max="4104" width="14.85546875" style="34" customWidth="1"/>
    <col min="4105" max="4352" width="9.140625" style="34"/>
    <col min="4353" max="4353" width="11.42578125" style="34" customWidth="1"/>
    <col min="4354" max="4354" width="11.85546875" style="34" customWidth="1"/>
    <col min="4355" max="4357" width="14.140625" style="34" customWidth="1"/>
    <col min="4358" max="4359" width="15.5703125" style="34" customWidth="1"/>
    <col min="4360" max="4360" width="14.85546875" style="34" customWidth="1"/>
    <col min="4361" max="4608" width="9.140625" style="34"/>
    <col min="4609" max="4609" width="11.42578125" style="34" customWidth="1"/>
    <col min="4610" max="4610" width="11.85546875" style="34" customWidth="1"/>
    <col min="4611" max="4613" width="14.140625" style="34" customWidth="1"/>
    <col min="4614" max="4615" width="15.5703125" style="34" customWidth="1"/>
    <col min="4616" max="4616" width="14.85546875" style="34" customWidth="1"/>
    <col min="4617" max="4864" width="9.140625" style="34"/>
    <col min="4865" max="4865" width="11.42578125" style="34" customWidth="1"/>
    <col min="4866" max="4866" width="11.85546875" style="34" customWidth="1"/>
    <col min="4867" max="4869" width="14.140625" style="34" customWidth="1"/>
    <col min="4870" max="4871" width="15.5703125" style="34" customWidth="1"/>
    <col min="4872" max="4872" width="14.85546875" style="34" customWidth="1"/>
    <col min="4873" max="5120" width="9.140625" style="34"/>
    <col min="5121" max="5121" width="11.42578125" style="34" customWidth="1"/>
    <col min="5122" max="5122" width="11.85546875" style="34" customWidth="1"/>
    <col min="5123" max="5125" width="14.140625" style="34" customWidth="1"/>
    <col min="5126" max="5127" width="15.5703125" style="34" customWidth="1"/>
    <col min="5128" max="5128" width="14.85546875" style="34" customWidth="1"/>
    <col min="5129" max="5376" width="9.140625" style="34"/>
    <col min="5377" max="5377" width="11.42578125" style="34" customWidth="1"/>
    <col min="5378" max="5378" width="11.85546875" style="34" customWidth="1"/>
    <col min="5379" max="5381" width="14.140625" style="34" customWidth="1"/>
    <col min="5382" max="5383" width="15.5703125" style="34" customWidth="1"/>
    <col min="5384" max="5384" width="14.85546875" style="34" customWidth="1"/>
    <col min="5385" max="5632" width="9.140625" style="34"/>
    <col min="5633" max="5633" width="11.42578125" style="34" customWidth="1"/>
    <col min="5634" max="5634" width="11.85546875" style="34" customWidth="1"/>
    <col min="5635" max="5637" width="14.140625" style="34" customWidth="1"/>
    <col min="5638" max="5639" width="15.5703125" style="34" customWidth="1"/>
    <col min="5640" max="5640" width="14.85546875" style="34" customWidth="1"/>
    <col min="5641" max="5888" width="9.140625" style="34"/>
    <col min="5889" max="5889" width="11.42578125" style="34" customWidth="1"/>
    <col min="5890" max="5890" width="11.85546875" style="34" customWidth="1"/>
    <col min="5891" max="5893" width="14.140625" style="34" customWidth="1"/>
    <col min="5894" max="5895" width="15.5703125" style="34" customWidth="1"/>
    <col min="5896" max="5896" width="14.85546875" style="34" customWidth="1"/>
    <col min="5897" max="6144" width="9.140625" style="34"/>
    <col min="6145" max="6145" width="11.42578125" style="34" customWidth="1"/>
    <col min="6146" max="6146" width="11.85546875" style="34" customWidth="1"/>
    <col min="6147" max="6149" width="14.140625" style="34" customWidth="1"/>
    <col min="6150" max="6151" width="15.5703125" style="34" customWidth="1"/>
    <col min="6152" max="6152" width="14.85546875" style="34" customWidth="1"/>
    <col min="6153" max="6400" width="9.140625" style="34"/>
    <col min="6401" max="6401" width="11.42578125" style="34" customWidth="1"/>
    <col min="6402" max="6402" width="11.85546875" style="34" customWidth="1"/>
    <col min="6403" max="6405" width="14.140625" style="34" customWidth="1"/>
    <col min="6406" max="6407" width="15.5703125" style="34" customWidth="1"/>
    <col min="6408" max="6408" width="14.85546875" style="34" customWidth="1"/>
    <col min="6409" max="6656" width="9.140625" style="34"/>
    <col min="6657" max="6657" width="11.42578125" style="34" customWidth="1"/>
    <col min="6658" max="6658" width="11.85546875" style="34" customWidth="1"/>
    <col min="6659" max="6661" width="14.140625" style="34" customWidth="1"/>
    <col min="6662" max="6663" width="15.5703125" style="34" customWidth="1"/>
    <col min="6664" max="6664" width="14.85546875" style="34" customWidth="1"/>
    <col min="6665" max="6912" width="9.140625" style="34"/>
    <col min="6913" max="6913" width="11.42578125" style="34" customWidth="1"/>
    <col min="6914" max="6914" width="11.85546875" style="34" customWidth="1"/>
    <col min="6915" max="6917" width="14.140625" style="34" customWidth="1"/>
    <col min="6918" max="6919" width="15.5703125" style="34" customWidth="1"/>
    <col min="6920" max="6920" width="14.85546875" style="34" customWidth="1"/>
    <col min="6921" max="7168" width="9.140625" style="34"/>
    <col min="7169" max="7169" width="11.42578125" style="34" customWidth="1"/>
    <col min="7170" max="7170" width="11.85546875" style="34" customWidth="1"/>
    <col min="7171" max="7173" width="14.140625" style="34" customWidth="1"/>
    <col min="7174" max="7175" width="15.5703125" style="34" customWidth="1"/>
    <col min="7176" max="7176" width="14.85546875" style="34" customWidth="1"/>
    <col min="7177" max="7424" width="9.140625" style="34"/>
    <col min="7425" max="7425" width="11.42578125" style="34" customWidth="1"/>
    <col min="7426" max="7426" width="11.85546875" style="34" customWidth="1"/>
    <col min="7427" max="7429" width="14.140625" style="34" customWidth="1"/>
    <col min="7430" max="7431" width="15.5703125" style="34" customWidth="1"/>
    <col min="7432" max="7432" width="14.85546875" style="34" customWidth="1"/>
    <col min="7433" max="7680" width="9.140625" style="34"/>
    <col min="7681" max="7681" width="11.42578125" style="34" customWidth="1"/>
    <col min="7682" max="7682" width="11.85546875" style="34" customWidth="1"/>
    <col min="7683" max="7685" width="14.140625" style="34" customWidth="1"/>
    <col min="7686" max="7687" width="15.5703125" style="34" customWidth="1"/>
    <col min="7688" max="7688" width="14.85546875" style="34" customWidth="1"/>
    <col min="7689" max="7936" width="9.140625" style="34"/>
    <col min="7937" max="7937" width="11.42578125" style="34" customWidth="1"/>
    <col min="7938" max="7938" width="11.85546875" style="34" customWidth="1"/>
    <col min="7939" max="7941" width="14.140625" style="34" customWidth="1"/>
    <col min="7942" max="7943" width="15.5703125" style="34" customWidth="1"/>
    <col min="7944" max="7944" width="14.85546875" style="34" customWidth="1"/>
    <col min="7945" max="8192" width="9.140625" style="34"/>
    <col min="8193" max="8193" width="11.42578125" style="34" customWidth="1"/>
    <col min="8194" max="8194" width="11.85546875" style="34" customWidth="1"/>
    <col min="8195" max="8197" width="14.140625" style="34" customWidth="1"/>
    <col min="8198" max="8199" width="15.5703125" style="34" customWidth="1"/>
    <col min="8200" max="8200" width="14.85546875" style="34" customWidth="1"/>
    <col min="8201" max="8448" width="9.140625" style="34"/>
    <col min="8449" max="8449" width="11.42578125" style="34" customWidth="1"/>
    <col min="8450" max="8450" width="11.85546875" style="34" customWidth="1"/>
    <col min="8451" max="8453" width="14.140625" style="34" customWidth="1"/>
    <col min="8454" max="8455" width="15.5703125" style="34" customWidth="1"/>
    <col min="8456" max="8456" width="14.85546875" style="34" customWidth="1"/>
    <col min="8457" max="8704" width="9.140625" style="34"/>
    <col min="8705" max="8705" width="11.42578125" style="34" customWidth="1"/>
    <col min="8706" max="8706" width="11.85546875" style="34" customWidth="1"/>
    <col min="8707" max="8709" width="14.140625" style="34" customWidth="1"/>
    <col min="8710" max="8711" width="15.5703125" style="34" customWidth="1"/>
    <col min="8712" max="8712" width="14.85546875" style="34" customWidth="1"/>
    <col min="8713" max="8960" width="9.140625" style="34"/>
    <col min="8961" max="8961" width="11.42578125" style="34" customWidth="1"/>
    <col min="8962" max="8962" width="11.85546875" style="34" customWidth="1"/>
    <col min="8963" max="8965" width="14.140625" style="34" customWidth="1"/>
    <col min="8966" max="8967" width="15.5703125" style="34" customWidth="1"/>
    <col min="8968" max="8968" width="14.85546875" style="34" customWidth="1"/>
    <col min="8969" max="9216" width="9.140625" style="34"/>
    <col min="9217" max="9217" width="11.42578125" style="34" customWidth="1"/>
    <col min="9218" max="9218" width="11.85546875" style="34" customWidth="1"/>
    <col min="9219" max="9221" width="14.140625" style="34" customWidth="1"/>
    <col min="9222" max="9223" width="15.5703125" style="34" customWidth="1"/>
    <col min="9224" max="9224" width="14.85546875" style="34" customWidth="1"/>
    <col min="9225" max="9472" width="9.140625" style="34"/>
    <col min="9473" max="9473" width="11.42578125" style="34" customWidth="1"/>
    <col min="9474" max="9474" width="11.85546875" style="34" customWidth="1"/>
    <col min="9475" max="9477" width="14.140625" style="34" customWidth="1"/>
    <col min="9478" max="9479" width="15.5703125" style="34" customWidth="1"/>
    <col min="9480" max="9480" width="14.85546875" style="34" customWidth="1"/>
    <col min="9481" max="9728" width="9.140625" style="34"/>
    <col min="9729" max="9729" width="11.42578125" style="34" customWidth="1"/>
    <col min="9730" max="9730" width="11.85546875" style="34" customWidth="1"/>
    <col min="9731" max="9733" width="14.140625" style="34" customWidth="1"/>
    <col min="9734" max="9735" width="15.5703125" style="34" customWidth="1"/>
    <col min="9736" max="9736" width="14.85546875" style="34" customWidth="1"/>
    <col min="9737" max="9984" width="9.140625" style="34"/>
    <col min="9985" max="9985" width="11.42578125" style="34" customWidth="1"/>
    <col min="9986" max="9986" width="11.85546875" style="34" customWidth="1"/>
    <col min="9987" max="9989" width="14.140625" style="34" customWidth="1"/>
    <col min="9990" max="9991" width="15.5703125" style="34" customWidth="1"/>
    <col min="9992" max="9992" width="14.85546875" style="34" customWidth="1"/>
    <col min="9993" max="10240" width="9.140625" style="34"/>
    <col min="10241" max="10241" width="11.42578125" style="34" customWidth="1"/>
    <col min="10242" max="10242" width="11.85546875" style="34" customWidth="1"/>
    <col min="10243" max="10245" width="14.140625" style="34" customWidth="1"/>
    <col min="10246" max="10247" width="15.5703125" style="34" customWidth="1"/>
    <col min="10248" max="10248" width="14.85546875" style="34" customWidth="1"/>
    <col min="10249" max="10496" width="9.140625" style="34"/>
    <col min="10497" max="10497" width="11.42578125" style="34" customWidth="1"/>
    <col min="10498" max="10498" width="11.85546875" style="34" customWidth="1"/>
    <col min="10499" max="10501" width="14.140625" style="34" customWidth="1"/>
    <col min="10502" max="10503" width="15.5703125" style="34" customWidth="1"/>
    <col min="10504" max="10504" width="14.85546875" style="34" customWidth="1"/>
    <col min="10505" max="10752" width="9.140625" style="34"/>
    <col min="10753" max="10753" width="11.42578125" style="34" customWidth="1"/>
    <col min="10754" max="10754" width="11.85546875" style="34" customWidth="1"/>
    <col min="10755" max="10757" width="14.140625" style="34" customWidth="1"/>
    <col min="10758" max="10759" width="15.5703125" style="34" customWidth="1"/>
    <col min="10760" max="10760" width="14.85546875" style="34" customWidth="1"/>
    <col min="10761" max="11008" width="9.140625" style="34"/>
    <col min="11009" max="11009" width="11.42578125" style="34" customWidth="1"/>
    <col min="11010" max="11010" width="11.85546875" style="34" customWidth="1"/>
    <col min="11011" max="11013" width="14.140625" style="34" customWidth="1"/>
    <col min="11014" max="11015" width="15.5703125" style="34" customWidth="1"/>
    <col min="11016" max="11016" width="14.85546875" style="34" customWidth="1"/>
    <col min="11017" max="11264" width="9.140625" style="34"/>
    <col min="11265" max="11265" width="11.42578125" style="34" customWidth="1"/>
    <col min="11266" max="11266" width="11.85546875" style="34" customWidth="1"/>
    <col min="11267" max="11269" width="14.140625" style="34" customWidth="1"/>
    <col min="11270" max="11271" width="15.5703125" style="34" customWidth="1"/>
    <col min="11272" max="11272" width="14.85546875" style="34" customWidth="1"/>
    <col min="11273" max="11520" width="9.140625" style="34"/>
    <col min="11521" max="11521" width="11.42578125" style="34" customWidth="1"/>
    <col min="11522" max="11522" width="11.85546875" style="34" customWidth="1"/>
    <col min="11523" max="11525" width="14.140625" style="34" customWidth="1"/>
    <col min="11526" max="11527" width="15.5703125" style="34" customWidth="1"/>
    <col min="11528" max="11528" width="14.85546875" style="34" customWidth="1"/>
    <col min="11529" max="11776" width="9.140625" style="34"/>
    <col min="11777" max="11777" width="11.42578125" style="34" customWidth="1"/>
    <col min="11778" max="11778" width="11.85546875" style="34" customWidth="1"/>
    <col min="11779" max="11781" width="14.140625" style="34" customWidth="1"/>
    <col min="11782" max="11783" width="15.5703125" style="34" customWidth="1"/>
    <col min="11784" max="11784" width="14.85546875" style="34" customWidth="1"/>
    <col min="11785" max="12032" width="9.140625" style="34"/>
    <col min="12033" max="12033" width="11.42578125" style="34" customWidth="1"/>
    <col min="12034" max="12034" width="11.85546875" style="34" customWidth="1"/>
    <col min="12035" max="12037" width="14.140625" style="34" customWidth="1"/>
    <col min="12038" max="12039" width="15.5703125" style="34" customWidth="1"/>
    <col min="12040" max="12040" width="14.85546875" style="34" customWidth="1"/>
    <col min="12041" max="12288" width="9.140625" style="34"/>
    <col min="12289" max="12289" width="11.42578125" style="34" customWidth="1"/>
    <col min="12290" max="12290" width="11.85546875" style="34" customWidth="1"/>
    <col min="12291" max="12293" width="14.140625" style="34" customWidth="1"/>
    <col min="12294" max="12295" width="15.5703125" style="34" customWidth="1"/>
    <col min="12296" max="12296" width="14.85546875" style="34" customWidth="1"/>
    <col min="12297" max="12544" width="9.140625" style="34"/>
    <col min="12545" max="12545" width="11.42578125" style="34" customWidth="1"/>
    <col min="12546" max="12546" width="11.85546875" style="34" customWidth="1"/>
    <col min="12547" max="12549" width="14.140625" style="34" customWidth="1"/>
    <col min="12550" max="12551" width="15.5703125" style="34" customWidth="1"/>
    <col min="12552" max="12552" width="14.85546875" style="34" customWidth="1"/>
    <col min="12553" max="12800" width="9.140625" style="34"/>
    <col min="12801" max="12801" width="11.42578125" style="34" customWidth="1"/>
    <col min="12802" max="12802" width="11.85546875" style="34" customWidth="1"/>
    <col min="12803" max="12805" width="14.140625" style="34" customWidth="1"/>
    <col min="12806" max="12807" width="15.5703125" style="34" customWidth="1"/>
    <col min="12808" max="12808" width="14.85546875" style="34" customWidth="1"/>
    <col min="12809" max="13056" width="9.140625" style="34"/>
    <col min="13057" max="13057" width="11.42578125" style="34" customWidth="1"/>
    <col min="13058" max="13058" width="11.85546875" style="34" customWidth="1"/>
    <col min="13059" max="13061" width="14.140625" style="34" customWidth="1"/>
    <col min="13062" max="13063" width="15.5703125" style="34" customWidth="1"/>
    <col min="13064" max="13064" width="14.85546875" style="34" customWidth="1"/>
    <col min="13065" max="13312" width="9.140625" style="34"/>
    <col min="13313" max="13313" width="11.42578125" style="34" customWidth="1"/>
    <col min="13314" max="13314" width="11.85546875" style="34" customWidth="1"/>
    <col min="13315" max="13317" width="14.140625" style="34" customWidth="1"/>
    <col min="13318" max="13319" width="15.5703125" style="34" customWidth="1"/>
    <col min="13320" max="13320" width="14.85546875" style="34" customWidth="1"/>
    <col min="13321" max="13568" width="9.140625" style="34"/>
    <col min="13569" max="13569" width="11.42578125" style="34" customWidth="1"/>
    <col min="13570" max="13570" width="11.85546875" style="34" customWidth="1"/>
    <col min="13571" max="13573" width="14.140625" style="34" customWidth="1"/>
    <col min="13574" max="13575" width="15.5703125" style="34" customWidth="1"/>
    <col min="13576" max="13576" width="14.85546875" style="34" customWidth="1"/>
    <col min="13577" max="13824" width="9.140625" style="34"/>
    <col min="13825" max="13825" width="11.42578125" style="34" customWidth="1"/>
    <col min="13826" max="13826" width="11.85546875" style="34" customWidth="1"/>
    <col min="13827" max="13829" width="14.140625" style="34" customWidth="1"/>
    <col min="13830" max="13831" width="15.5703125" style="34" customWidth="1"/>
    <col min="13832" max="13832" width="14.85546875" style="34" customWidth="1"/>
    <col min="13833" max="14080" width="9.140625" style="34"/>
    <col min="14081" max="14081" width="11.42578125" style="34" customWidth="1"/>
    <col min="14082" max="14082" width="11.85546875" style="34" customWidth="1"/>
    <col min="14083" max="14085" width="14.140625" style="34" customWidth="1"/>
    <col min="14086" max="14087" width="15.5703125" style="34" customWidth="1"/>
    <col min="14088" max="14088" width="14.85546875" style="34" customWidth="1"/>
    <col min="14089" max="14336" width="9.140625" style="34"/>
    <col min="14337" max="14337" width="11.42578125" style="34" customWidth="1"/>
    <col min="14338" max="14338" width="11.85546875" style="34" customWidth="1"/>
    <col min="14339" max="14341" width="14.140625" style="34" customWidth="1"/>
    <col min="14342" max="14343" width="15.5703125" style="34" customWidth="1"/>
    <col min="14344" max="14344" width="14.85546875" style="34" customWidth="1"/>
    <col min="14345" max="14592" width="9.140625" style="34"/>
    <col min="14593" max="14593" width="11.42578125" style="34" customWidth="1"/>
    <col min="14594" max="14594" width="11.85546875" style="34" customWidth="1"/>
    <col min="14595" max="14597" width="14.140625" style="34" customWidth="1"/>
    <col min="14598" max="14599" width="15.5703125" style="34" customWidth="1"/>
    <col min="14600" max="14600" width="14.85546875" style="34" customWidth="1"/>
    <col min="14601" max="14848" width="9.140625" style="34"/>
    <col min="14849" max="14849" width="11.42578125" style="34" customWidth="1"/>
    <col min="14850" max="14850" width="11.85546875" style="34" customWidth="1"/>
    <col min="14851" max="14853" width="14.140625" style="34" customWidth="1"/>
    <col min="14854" max="14855" width="15.5703125" style="34" customWidth="1"/>
    <col min="14856" max="14856" width="14.85546875" style="34" customWidth="1"/>
    <col min="14857" max="15104" width="9.140625" style="34"/>
    <col min="15105" max="15105" width="11.42578125" style="34" customWidth="1"/>
    <col min="15106" max="15106" width="11.85546875" style="34" customWidth="1"/>
    <col min="15107" max="15109" width="14.140625" style="34" customWidth="1"/>
    <col min="15110" max="15111" width="15.5703125" style="34" customWidth="1"/>
    <col min="15112" max="15112" width="14.85546875" style="34" customWidth="1"/>
    <col min="15113" max="15360" width="9.140625" style="34"/>
    <col min="15361" max="15361" width="11.42578125" style="34" customWidth="1"/>
    <col min="15362" max="15362" width="11.85546875" style="34" customWidth="1"/>
    <col min="15363" max="15365" width="14.140625" style="34" customWidth="1"/>
    <col min="15366" max="15367" width="15.5703125" style="34" customWidth="1"/>
    <col min="15368" max="15368" width="14.85546875" style="34" customWidth="1"/>
    <col min="15369" max="15616" width="9.140625" style="34"/>
    <col min="15617" max="15617" width="11.42578125" style="34" customWidth="1"/>
    <col min="15618" max="15618" width="11.85546875" style="34" customWidth="1"/>
    <col min="15619" max="15621" width="14.140625" style="34" customWidth="1"/>
    <col min="15622" max="15623" width="15.5703125" style="34" customWidth="1"/>
    <col min="15624" max="15624" width="14.85546875" style="34" customWidth="1"/>
    <col min="15625" max="15872" width="9.140625" style="34"/>
    <col min="15873" max="15873" width="11.42578125" style="34" customWidth="1"/>
    <col min="15874" max="15874" width="11.85546875" style="34" customWidth="1"/>
    <col min="15875" max="15877" width="14.140625" style="34" customWidth="1"/>
    <col min="15878" max="15879" width="15.5703125" style="34" customWidth="1"/>
    <col min="15880" max="15880" width="14.85546875" style="34" customWidth="1"/>
    <col min="15881" max="16128" width="9.140625" style="34"/>
    <col min="16129" max="16129" width="11.42578125" style="34" customWidth="1"/>
    <col min="16130" max="16130" width="11.85546875" style="34" customWidth="1"/>
    <col min="16131" max="16133" width="14.140625" style="34" customWidth="1"/>
    <col min="16134" max="16135" width="15.5703125" style="34" customWidth="1"/>
    <col min="16136" max="16136" width="14.85546875" style="34" customWidth="1"/>
    <col min="16137" max="16384" width="9.140625" style="34"/>
  </cols>
  <sheetData>
    <row r="1" spans="1:11" ht="15.75">
      <c r="A1" s="46" t="s">
        <v>550</v>
      </c>
      <c r="B1" s="15"/>
      <c r="C1" s="159"/>
      <c r="D1" s="15"/>
      <c r="E1" s="15"/>
      <c r="H1" s="12" t="s">
        <v>68</v>
      </c>
      <c r="I1" s="15"/>
      <c r="J1" s="15"/>
    </row>
    <row r="2" spans="1:11" ht="15.75">
      <c r="A2" s="46" t="s">
        <v>115</v>
      </c>
      <c r="B2" s="15"/>
      <c r="C2" s="159"/>
      <c r="D2" s="15"/>
      <c r="E2" s="15"/>
      <c r="H2" s="28" t="s">
        <v>88</v>
      </c>
      <c r="I2" s="15"/>
      <c r="J2" s="15"/>
    </row>
    <row r="3" spans="1:11">
      <c r="A3" s="15"/>
      <c r="B3" s="15"/>
      <c r="C3" s="159"/>
      <c r="D3" s="15"/>
      <c r="E3" s="15"/>
      <c r="H3" s="29" t="s">
        <v>87</v>
      </c>
      <c r="I3" s="15"/>
      <c r="J3" s="15"/>
    </row>
    <row r="4" spans="1:11">
      <c r="A4" s="15"/>
      <c r="B4" s="15"/>
      <c r="C4" s="159"/>
      <c r="D4" s="15"/>
      <c r="E4" s="15"/>
      <c r="G4" s="29"/>
      <c r="H4" s="15"/>
      <c r="I4" s="15"/>
      <c r="J4" s="15"/>
    </row>
    <row r="5" spans="1:11" ht="25.15" customHeight="1">
      <c r="A5" s="174" t="s">
        <v>104</v>
      </c>
      <c r="B5" s="174"/>
      <c r="C5" s="174"/>
      <c r="D5" s="174"/>
      <c r="E5" s="174"/>
      <c r="F5" s="174"/>
      <c r="G5" s="174"/>
      <c r="H5" s="174"/>
      <c r="I5" s="174"/>
      <c r="J5" s="174"/>
    </row>
    <row r="6" spans="1:11" ht="18" customHeight="1">
      <c r="A6" s="174" t="s">
        <v>648</v>
      </c>
      <c r="B6" s="174"/>
      <c r="C6" s="174"/>
      <c r="D6" s="174"/>
      <c r="E6" s="174"/>
      <c r="F6" s="174"/>
      <c r="G6" s="174"/>
      <c r="H6" s="174"/>
      <c r="I6" s="174"/>
      <c r="J6" s="174"/>
    </row>
    <row r="7" spans="1:11" ht="13.9" hidden="1" customHeight="1">
      <c r="A7" s="75"/>
      <c r="B7" s="75"/>
      <c r="C7" s="160"/>
      <c r="D7" s="77" t="s">
        <v>216</v>
      </c>
      <c r="E7"/>
      <c r="F7"/>
      <c r="G7"/>
      <c r="H7" s="75"/>
      <c r="I7" s="75"/>
      <c r="J7" s="75"/>
    </row>
    <row r="8" spans="1:11" ht="13.9" hidden="1" customHeight="1">
      <c r="A8" s="75"/>
      <c r="B8" s="75"/>
      <c r="C8" s="160"/>
      <c r="D8" s="77" t="s">
        <v>217</v>
      </c>
      <c r="E8"/>
      <c r="F8"/>
      <c r="H8" s="75"/>
      <c r="I8" s="75"/>
      <c r="J8" s="75"/>
    </row>
    <row r="9" spans="1:11" ht="13.9" hidden="1" customHeight="1">
      <c r="A9" s="75"/>
      <c r="B9" s="75"/>
      <c r="C9" s="160"/>
      <c r="D9" s="77" t="s">
        <v>218</v>
      </c>
      <c r="E9"/>
      <c r="F9"/>
      <c r="H9" s="75"/>
      <c r="I9" s="75"/>
      <c r="J9" s="75"/>
    </row>
    <row r="10" spans="1:11">
      <c r="A10" s="15"/>
      <c r="B10" s="15"/>
      <c r="C10" s="159"/>
      <c r="D10" s="15"/>
      <c r="E10" s="15"/>
      <c r="F10" s="15"/>
      <c r="G10" s="15"/>
      <c r="H10" s="15"/>
      <c r="I10" s="15"/>
      <c r="J10" s="15"/>
    </row>
    <row r="11" spans="1:11">
      <c r="A11" s="199" t="s">
        <v>95</v>
      </c>
      <c r="B11" s="193" t="s">
        <v>96</v>
      </c>
      <c r="C11" s="195"/>
      <c r="D11" s="201" t="s">
        <v>70</v>
      </c>
      <c r="E11" s="202"/>
      <c r="F11" s="202"/>
      <c r="G11" s="205" t="s">
        <v>71</v>
      </c>
      <c r="H11" s="205"/>
      <c r="I11" s="205"/>
      <c r="J11" s="206" t="s">
        <v>92</v>
      </c>
      <c r="K11" s="15"/>
    </row>
    <row r="12" spans="1:11">
      <c r="A12" s="200"/>
      <c r="B12" s="35" t="s">
        <v>89</v>
      </c>
      <c r="C12" s="161" t="s">
        <v>72</v>
      </c>
      <c r="D12" s="203"/>
      <c r="E12" s="204"/>
      <c r="F12" s="204"/>
      <c r="G12" s="35" t="s">
        <v>97</v>
      </c>
      <c r="H12" s="35" t="s">
        <v>98</v>
      </c>
      <c r="I12" s="35" t="s">
        <v>90</v>
      </c>
      <c r="J12" s="207"/>
      <c r="K12" s="15"/>
    </row>
    <row r="13" spans="1:11">
      <c r="A13" s="35" t="s">
        <v>83</v>
      </c>
      <c r="B13" s="35" t="s">
        <v>84</v>
      </c>
      <c r="C13" s="161" t="s">
        <v>85</v>
      </c>
      <c r="D13" s="193" t="s">
        <v>99</v>
      </c>
      <c r="E13" s="194"/>
      <c r="F13" s="195"/>
      <c r="G13" s="35">
        <v>1</v>
      </c>
      <c r="H13" s="35">
        <v>2</v>
      </c>
      <c r="I13" s="35">
        <v>3</v>
      </c>
      <c r="J13" s="35" t="s">
        <v>86</v>
      </c>
      <c r="K13" s="15"/>
    </row>
    <row r="14" spans="1:11" customFormat="1" ht="16.5">
      <c r="A14" s="20"/>
      <c r="B14" s="20"/>
      <c r="C14" s="162"/>
      <c r="D14" s="196" t="s">
        <v>94</v>
      </c>
      <c r="E14" s="197"/>
      <c r="F14" s="198"/>
      <c r="G14" s="19"/>
      <c r="H14" s="17"/>
      <c r="I14" s="136">
        <v>123430</v>
      </c>
      <c r="J14" s="2"/>
    </row>
    <row r="15" spans="1:11" s="85" customFormat="1" ht="15.75">
      <c r="A15" s="90"/>
      <c r="B15" s="82" t="s">
        <v>573</v>
      </c>
      <c r="C15" s="163">
        <v>46039</v>
      </c>
      <c r="D15" s="228" t="s">
        <v>577</v>
      </c>
      <c r="E15" s="229"/>
      <c r="F15" s="230"/>
      <c r="G15" s="84"/>
      <c r="H15" s="84">
        <v>35000</v>
      </c>
      <c r="I15" s="84">
        <f t="shared" ref="I15:I36" si="0">+I14+G15-H15</f>
        <v>88430</v>
      </c>
      <c r="J15" s="81"/>
    </row>
    <row r="16" spans="1:11" s="85" customFormat="1" ht="15.75">
      <c r="A16" s="90"/>
      <c r="B16" s="82" t="s">
        <v>574</v>
      </c>
      <c r="C16" s="163">
        <v>46039</v>
      </c>
      <c r="D16" s="228" t="s">
        <v>578</v>
      </c>
      <c r="E16" s="229"/>
      <c r="F16" s="230"/>
      <c r="G16" s="84"/>
      <c r="H16" s="84">
        <v>3500</v>
      </c>
      <c r="I16" s="84">
        <f t="shared" si="0"/>
        <v>84930</v>
      </c>
      <c r="J16" s="81"/>
    </row>
    <row r="17" spans="1:10" ht="30" customHeight="1">
      <c r="A17" s="76"/>
      <c r="B17" s="37" t="s">
        <v>575</v>
      </c>
      <c r="C17" s="163">
        <v>46041</v>
      </c>
      <c r="D17" s="243" t="s">
        <v>579</v>
      </c>
      <c r="E17" s="244"/>
      <c r="F17" s="245"/>
      <c r="G17" s="38">
        <v>8006000</v>
      </c>
      <c r="H17" s="38"/>
      <c r="I17" s="84">
        <f t="shared" si="0"/>
        <v>8090930</v>
      </c>
      <c r="J17" s="39"/>
    </row>
    <row r="18" spans="1:10" ht="15.75">
      <c r="A18" s="76"/>
      <c r="B18" s="37" t="s">
        <v>576</v>
      </c>
      <c r="C18" s="163">
        <v>46053</v>
      </c>
      <c r="D18" s="187" t="s">
        <v>180</v>
      </c>
      <c r="E18" s="188"/>
      <c r="F18" s="234"/>
      <c r="G18" s="38">
        <v>544</v>
      </c>
      <c r="H18" s="38"/>
      <c r="I18" s="84">
        <f t="shared" si="0"/>
        <v>8091474</v>
      </c>
      <c r="J18" s="39"/>
    </row>
    <row r="19" spans="1:10" ht="15.75">
      <c r="A19" s="76"/>
      <c r="B19" s="168" t="s">
        <v>583</v>
      </c>
      <c r="C19" s="169">
        <v>46063</v>
      </c>
      <c r="D19" s="187" t="s">
        <v>222</v>
      </c>
      <c r="E19" s="188"/>
      <c r="F19" s="234"/>
      <c r="G19" s="138"/>
      <c r="H19" s="138">
        <v>5800000</v>
      </c>
      <c r="I19" s="84">
        <f t="shared" si="0"/>
        <v>2291474</v>
      </c>
      <c r="J19" s="39"/>
    </row>
    <row r="20" spans="1:10" ht="15.75">
      <c r="A20" s="76"/>
      <c r="B20" s="37" t="s">
        <v>581</v>
      </c>
      <c r="C20" s="169">
        <v>46063</v>
      </c>
      <c r="D20" s="187" t="s">
        <v>582</v>
      </c>
      <c r="E20" s="188"/>
      <c r="F20" s="234"/>
      <c r="G20" s="138"/>
      <c r="H20" s="138">
        <v>2226645</v>
      </c>
      <c r="I20" s="84">
        <f t="shared" si="0"/>
        <v>64829</v>
      </c>
      <c r="J20" s="154"/>
    </row>
    <row r="21" spans="1:10" s="85" customFormat="1" ht="15.75">
      <c r="A21" s="90"/>
      <c r="B21" s="82" t="s">
        <v>593</v>
      </c>
      <c r="C21" s="163">
        <v>46070</v>
      </c>
      <c r="D21" s="228" t="s">
        <v>591</v>
      </c>
      <c r="E21" s="229"/>
      <c r="F21" s="230"/>
      <c r="G21" s="84"/>
      <c r="H21" s="84">
        <v>35000</v>
      </c>
      <c r="I21" s="84">
        <f t="shared" si="0"/>
        <v>29829</v>
      </c>
      <c r="J21" s="81"/>
    </row>
    <row r="22" spans="1:10" s="85" customFormat="1" ht="15.75">
      <c r="A22" s="90"/>
      <c r="B22" s="82" t="s">
        <v>594</v>
      </c>
      <c r="C22" s="163">
        <v>46070</v>
      </c>
      <c r="D22" s="228" t="s">
        <v>592</v>
      </c>
      <c r="E22" s="229"/>
      <c r="F22" s="230"/>
      <c r="G22" s="84"/>
      <c r="H22" s="84">
        <v>3500</v>
      </c>
      <c r="I22" s="84">
        <f t="shared" si="0"/>
        <v>26329</v>
      </c>
      <c r="J22" s="81"/>
    </row>
    <row r="23" spans="1:10" ht="15.75">
      <c r="A23" s="76"/>
      <c r="B23" s="37" t="s">
        <v>595</v>
      </c>
      <c r="C23" s="163">
        <v>46081</v>
      </c>
      <c r="D23" s="187" t="s">
        <v>180</v>
      </c>
      <c r="E23" s="188"/>
      <c r="F23" s="234"/>
      <c r="G23" s="38">
        <v>491</v>
      </c>
      <c r="H23" s="38"/>
      <c r="I23" s="84">
        <f t="shared" si="0"/>
        <v>26820</v>
      </c>
      <c r="J23" s="39"/>
    </row>
    <row r="24" spans="1:10" ht="15.75">
      <c r="A24" s="76"/>
      <c r="B24" s="37" t="s">
        <v>596</v>
      </c>
      <c r="C24" s="163">
        <v>46092</v>
      </c>
      <c r="D24" s="187" t="s">
        <v>597</v>
      </c>
      <c r="E24" s="188"/>
      <c r="F24" s="234"/>
      <c r="G24" s="38">
        <v>300000</v>
      </c>
      <c r="H24" s="38"/>
      <c r="I24" s="84">
        <f t="shared" si="0"/>
        <v>326820</v>
      </c>
      <c r="J24" s="39"/>
    </row>
    <row r="25" spans="1:10" s="85" customFormat="1" ht="15.75">
      <c r="A25" s="90"/>
      <c r="B25" s="82" t="s">
        <v>598</v>
      </c>
      <c r="C25" s="163">
        <v>46098</v>
      </c>
      <c r="D25" s="228" t="s">
        <v>600</v>
      </c>
      <c r="E25" s="229"/>
      <c r="F25" s="230"/>
      <c r="G25" s="84"/>
      <c r="H25" s="84">
        <v>35000</v>
      </c>
      <c r="I25" s="84">
        <f t="shared" si="0"/>
        <v>291820</v>
      </c>
      <c r="J25" s="81"/>
    </row>
    <row r="26" spans="1:10" s="85" customFormat="1" ht="15.75">
      <c r="A26" s="90"/>
      <c r="B26" s="82" t="s">
        <v>599</v>
      </c>
      <c r="C26" s="163">
        <v>46098</v>
      </c>
      <c r="D26" s="228" t="s">
        <v>601</v>
      </c>
      <c r="E26" s="229"/>
      <c r="F26" s="230"/>
      <c r="G26" s="84"/>
      <c r="H26" s="84">
        <v>3500</v>
      </c>
      <c r="I26" s="84">
        <f t="shared" si="0"/>
        <v>288320</v>
      </c>
      <c r="J26" s="81"/>
    </row>
    <row r="27" spans="1:10" ht="15.75">
      <c r="A27" s="76"/>
      <c r="B27" s="37" t="s">
        <v>602</v>
      </c>
      <c r="C27" s="163">
        <v>46112</v>
      </c>
      <c r="D27" s="187" t="s">
        <v>180</v>
      </c>
      <c r="E27" s="188"/>
      <c r="F27" s="234"/>
      <c r="G27" s="38">
        <v>34</v>
      </c>
      <c r="H27" s="38"/>
      <c r="I27" s="84">
        <f t="shared" si="0"/>
        <v>288354</v>
      </c>
      <c r="J27" s="39"/>
    </row>
    <row r="28" spans="1:10" s="85" customFormat="1" ht="15.75">
      <c r="A28" s="90"/>
      <c r="B28" s="82" t="s">
        <v>603</v>
      </c>
      <c r="C28" s="163">
        <v>46129</v>
      </c>
      <c r="D28" s="228" t="s">
        <v>605</v>
      </c>
      <c r="E28" s="229"/>
      <c r="F28" s="230"/>
      <c r="G28" s="84"/>
      <c r="H28" s="84">
        <v>35000</v>
      </c>
      <c r="I28" s="84">
        <f t="shared" si="0"/>
        <v>253354</v>
      </c>
      <c r="J28" s="81"/>
    </row>
    <row r="29" spans="1:10" s="85" customFormat="1" ht="15.75">
      <c r="A29" s="90"/>
      <c r="B29" s="82" t="s">
        <v>604</v>
      </c>
      <c r="C29" s="163">
        <v>46129</v>
      </c>
      <c r="D29" s="228" t="s">
        <v>606</v>
      </c>
      <c r="E29" s="229"/>
      <c r="F29" s="230"/>
      <c r="G29" s="84"/>
      <c r="H29" s="84">
        <v>3500</v>
      </c>
      <c r="I29" s="84">
        <f t="shared" si="0"/>
        <v>249854</v>
      </c>
      <c r="J29" s="81"/>
    </row>
    <row r="30" spans="1:10" ht="15.75">
      <c r="A30" s="76"/>
      <c r="B30" s="37" t="s">
        <v>607</v>
      </c>
      <c r="C30" s="163">
        <v>46142</v>
      </c>
      <c r="D30" s="187" t="s">
        <v>180</v>
      </c>
      <c r="E30" s="188"/>
      <c r="F30" s="234"/>
      <c r="G30" s="38">
        <v>45</v>
      </c>
      <c r="H30" s="38"/>
      <c r="I30" s="84">
        <f t="shared" si="0"/>
        <v>249899</v>
      </c>
      <c r="J30" s="39"/>
    </row>
    <row r="31" spans="1:10" s="85" customFormat="1" ht="15.75">
      <c r="A31" s="90"/>
      <c r="B31" s="82" t="s">
        <v>608</v>
      </c>
      <c r="C31" s="163">
        <v>46159</v>
      </c>
      <c r="D31" s="228" t="s">
        <v>610</v>
      </c>
      <c r="E31" s="229"/>
      <c r="F31" s="230"/>
      <c r="G31" s="84"/>
      <c r="H31" s="84">
        <v>35000</v>
      </c>
      <c r="I31" s="84">
        <f t="shared" si="0"/>
        <v>214899</v>
      </c>
      <c r="J31" s="81"/>
    </row>
    <row r="32" spans="1:10" s="85" customFormat="1" ht="15.75">
      <c r="A32" s="90"/>
      <c r="B32" s="82" t="s">
        <v>609</v>
      </c>
      <c r="C32" s="163">
        <v>46159</v>
      </c>
      <c r="D32" s="228" t="s">
        <v>611</v>
      </c>
      <c r="E32" s="229"/>
      <c r="F32" s="230"/>
      <c r="G32" s="84"/>
      <c r="H32" s="84">
        <v>3500</v>
      </c>
      <c r="I32" s="84">
        <f t="shared" si="0"/>
        <v>211399</v>
      </c>
      <c r="J32" s="81"/>
    </row>
    <row r="33" spans="1:12" ht="30" customHeight="1">
      <c r="A33" s="76"/>
      <c r="B33" s="37" t="s">
        <v>612</v>
      </c>
      <c r="C33" s="163">
        <v>46169</v>
      </c>
      <c r="D33" s="243" t="s">
        <v>613</v>
      </c>
      <c r="E33" s="244"/>
      <c r="F33" s="245"/>
      <c r="G33" s="38">
        <v>18223500</v>
      </c>
      <c r="H33" s="38"/>
      <c r="I33" s="84">
        <f t="shared" si="0"/>
        <v>18434899</v>
      </c>
      <c r="J33" s="39"/>
    </row>
    <row r="34" spans="1:12" ht="15.75">
      <c r="A34" s="76"/>
      <c r="B34" s="37" t="s">
        <v>614</v>
      </c>
      <c r="C34" s="163">
        <v>46173</v>
      </c>
      <c r="D34" s="187" t="s">
        <v>180</v>
      </c>
      <c r="E34" s="188"/>
      <c r="F34" s="234"/>
      <c r="G34" s="38">
        <v>439</v>
      </c>
      <c r="H34" s="38"/>
      <c r="I34" s="84">
        <f t="shared" si="0"/>
        <v>18435338</v>
      </c>
      <c r="J34" s="39"/>
    </row>
    <row r="35" spans="1:12" ht="15.75">
      <c r="A35" s="76"/>
      <c r="B35" s="168" t="s">
        <v>637</v>
      </c>
      <c r="C35" s="169">
        <v>46188</v>
      </c>
      <c r="D35" s="187" t="s">
        <v>222</v>
      </c>
      <c r="E35" s="188"/>
      <c r="F35" s="234"/>
      <c r="G35" s="138"/>
      <c r="H35" s="138">
        <v>15500000</v>
      </c>
      <c r="I35" s="84">
        <f t="shared" si="0"/>
        <v>2935338</v>
      </c>
      <c r="J35" s="39"/>
    </row>
    <row r="36" spans="1:12" ht="15.75">
      <c r="A36" s="76"/>
      <c r="B36" s="82" t="s">
        <v>639</v>
      </c>
      <c r="C36" s="169">
        <v>46188</v>
      </c>
      <c r="D36" s="187" t="s">
        <v>638</v>
      </c>
      <c r="E36" s="188"/>
      <c r="F36" s="234"/>
      <c r="G36" s="138"/>
      <c r="H36" s="138">
        <v>2324940</v>
      </c>
      <c r="I36" s="84">
        <f t="shared" si="0"/>
        <v>610398</v>
      </c>
      <c r="J36" s="154"/>
    </row>
    <row r="37" spans="1:12" s="85" customFormat="1" ht="15.75">
      <c r="A37" s="90"/>
      <c r="B37" s="82" t="s">
        <v>643</v>
      </c>
      <c r="C37" s="163">
        <v>46190</v>
      </c>
      <c r="D37" s="228" t="s">
        <v>645</v>
      </c>
      <c r="E37" s="229"/>
      <c r="F37" s="230"/>
      <c r="G37" s="84"/>
      <c r="H37" s="84">
        <v>35000</v>
      </c>
      <c r="I37" s="84">
        <f t="shared" ref="I37:I40" si="1">+I36+G37-H37</f>
        <v>575398</v>
      </c>
      <c r="J37" s="81"/>
    </row>
    <row r="38" spans="1:12" s="85" customFormat="1" ht="15.75">
      <c r="A38" s="90"/>
      <c r="B38" s="82" t="s">
        <v>644</v>
      </c>
      <c r="C38" s="163">
        <v>46190</v>
      </c>
      <c r="D38" s="228" t="s">
        <v>646</v>
      </c>
      <c r="E38" s="229"/>
      <c r="F38" s="230"/>
      <c r="G38" s="84"/>
      <c r="H38" s="84">
        <v>3500</v>
      </c>
      <c r="I38" s="84">
        <f t="shared" si="1"/>
        <v>571898</v>
      </c>
      <c r="J38" s="81"/>
    </row>
    <row r="39" spans="1:12" ht="15.75">
      <c r="A39" s="76"/>
      <c r="B39" s="37" t="s">
        <v>647</v>
      </c>
      <c r="C39" s="163">
        <v>46203</v>
      </c>
      <c r="D39" s="187" t="s">
        <v>180</v>
      </c>
      <c r="E39" s="188"/>
      <c r="F39" s="234"/>
      <c r="G39" s="38">
        <v>1563</v>
      </c>
      <c r="H39" s="38"/>
      <c r="I39" s="84">
        <f t="shared" si="1"/>
        <v>573461</v>
      </c>
      <c r="J39" s="39"/>
    </row>
    <row r="40" spans="1:12" ht="15.75">
      <c r="A40" s="76"/>
      <c r="B40" s="37"/>
      <c r="C40" s="163"/>
      <c r="D40" s="187"/>
      <c r="E40" s="188"/>
      <c r="F40" s="234"/>
      <c r="G40" s="138"/>
      <c r="H40" s="138"/>
      <c r="I40" s="84">
        <f t="shared" si="1"/>
        <v>573461</v>
      </c>
      <c r="J40" s="39"/>
    </row>
    <row r="41" spans="1:12" s="85" customFormat="1" ht="15.75">
      <c r="A41" s="81"/>
      <c r="B41" s="82"/>
      <c r="C41" s="164"/>
      <c r="D41" s="228"/>
      <c r="E41" s="229"/>
      <c r="F41" s="230"/>
      <c r="G41" s="84"/>
      <c r="H41" s="84"/>
      <c r="I41" s="138">
        <f>+I40+G41-H41</f>
        <v>573461</v>
      </c>
      <c r="J41" s="81"/>
    </row>
    <row r="42" spans="1:12">
      <c r="A42" s="8"/>
      <c r="B42" s="8"/>
      <c r="C42" s="165"/>
      <c r="D42" s="193" t="s">
        <v>91</v>
      </c>
      <c r="E42" s="194"/>
      <c r="F42" s="195"/>
      <c r="G42" s="36">
        <f>SUM(G17:G41)</f>
        <v>26532616</v>
      </c>
      <c r="H42" s="36">
        <f>SUM(H15:H41)</f>
        <v>26082585</v>
      </c>
      <c r="I42" s="36"/>
      <c r="J42" s="39"/>
    </row>
    <row r="43" spans="1:12">
      <c r="A43" s="192" t="s">
        <v>176</v>
      </c>
      <c r="B43" s="192"/>
      <c r="C43" s="192"/>
      <c r="D43" s="192"/>
      <c r="E43" s="192"/>
      <c r="F43" s="192"/>
      <c r="G43" s="36"/>
      <c r="H43" s="36"/>
      <c r="I43" s="36">
        <f>I14+G42-H42</f>
        <v>573461</v>
      </c>
      <c r="J43" s="39"/>
      <c r="L43" s="96"/>
    </row>
    <row r="44" spans="1:12" ht="15.75">
      <c r="A44" s="78"/>
      <c r="B44" s="134" t="s">
        <v>385</v>
      </c>
      <c r="C44" s="166"/>
      <c r="D44" s="78"/>
      <c r="E44" s="78"/>
      <c r="F44" s="78"/>
      <c r="G44" s="79"/>
      <c r="H44" s="79"/>
      <c r="I44" s="79"/>
      <c r="J44" s="15"/>
    </row>
    <row r="45" spans="1:12" ht="15.75">
      <c r="A45" s="78"/>
      <c r="B45" s="134" t="s">
        <v>580</v>
      </c>
      <c r="C45" s="166"/>
      <c r="D45" s="78"/>
      <c r="E45" s="78"/>
      <c r="F45" s="78"/>
      <c r="G45" s="79"/>
      <c r="H45" s="79"/>
      <c r="I45" s="79"/>
      <c r="J45" s="15"/>
    </row>
    <row r="46" spans="1:12">
      <c r="A46" s="15"/>
      <c r="B46" s="15"/>
      <c r="C46" s="159"/>
      <c r="D46" s="15"/>
      <c r="E46" s="15"/>
      <c r="H46" s="67" t="s">
        <v>635</v>
      </c>
      <c r="I46" s="15"/>
      <c r="J46" s="15"/>
    </row>
    <row r="47" spans="1:12">
      <c r="A47" s="15"/>
      <c r="B47" s="222" t="s">
        <v>219</v>
      </c>
      <c r="C47" s="222"/>
      <c r="D47" s="222" t="s">
        <v>78</v>
      </c>
      <c r="E47" s="222"/>
      <c r="F47" s="222"/>
      <c r="G47" s="12"/>
      <c r="H47" s="12" t="s">
        <v>220</v>
      </c>
      <c r="I47" s="15"/>
      <c r="J47" s="15"/>
    </row>
    <row r="48" spans="1:12">
      <c r="A48" s="15"/>
      <c r="B48" s="238" t="s">
        <v>80</v>
      </c>
      <c r="C48" s="238"/>
      <c r="D48" s="238" t="s">
        <v>80</v>
      </c>
      <c r="E48" s="238"/>
      <c r="F48" s="238"/>
      <c r="H48" s="133" t="s">
        <v>81</v>
      </c>
      <c r="I48" s="15"/>
      <c r="J48" s="15"/>
    </row>
    <row r="49" spans="1:10">
      <c r="A49" s="15"/>
      <c r="B49" s="15"/>
      <c r="C49" s="159"/>
      <c r="D49" s="15"/>
      <c r="E49" s="15"/>
      <c r="F49" s="15"/>
      <c r="G49" s="15"/>
      <c r="H49" s="15"/>
      <c r="I49" s="15"/>
      <c r="J49" s="15"/>
    </row>
    <row r="50" spans="1:10">
      <c r="A50" s="15"/>
      <c r="B50" s="15"/>
      <c r="C50" s="159"/>
      <c r="D50" s="15"/>
      <c r="E50" s="15"/>
      <c r="F50" s="15"/>
      <c r="G50" s="15"/>
      <c r="H50" s="15"/>
      <c r="I50" s="15"/>
      <c r="J50" s="15"/>
    </row>
    <row r="51" spans="1:10">
      <c r="A51" s="15"/>
      <c r="B51" s="15"/>
      <c r="C51" s="159"/>
      <c r="D51" s="15"/>
      <c r="E51" s="15"/>
      <c r="F51" s="15"/>
      <c r="G51" s="15"/>
      <c r="H51" s="15"/>
      <c r="I51" s="15"/>
      <c r="J51" s="15"/>
    </row>
    <row r="52" spans="1:10">
      <c r="A52" s="15"/>
      <c r="B52" s="15"/>
      <c r="C52" s="159"/>
      <c r="D52" s="15"/>
      <c r="E52" s="15"/>
      <c r="F52" s="15"/>
      <c r="G52" s="15"/>
      <c r="H52" s="15"/>
      <c r="I52" s="15"/>
      <c r="J52" s="15"/>
    </row>
    <row r="53" spans="1:10">
      <c r="A53" s="15"/>
      <c r="B53" s="15"/>
      <c r="C53" s="159"/>
      <c r="D53" s="15"/>
      <c r="E53" s="15"/>
      <c r="F53" s="15"/>
      <c r="G53" s="15"/>
      <c r="H53" s="15"/>
      <c r="I53" s="15"/>
      <c r="J53" s="15"/>
    </row>
    <row r="54" spans="1:10">
      <c r="A54" s="15"/>
      <c r="B54" s="186" t="s">
        <v>384</v>
      </c>
      <c r="C54" s="186"/>
      <c r="D54" s="186" t="s">
        <v>384</v>
      </c>
      <c r="E54" s="186"/>
      <c r="F54" s="186"/>
      <c r="G54" s="186" t="s">
        <v>173</v>
      </c>
      <c r="H54" s="186"/>
      <c r="I54" s="186"/>
      <c r="J54" s="15"/>
    </row>
    <row r="55" spans="1:10">
      <c r="A55" s="15"/>
      <c r="B55" s="15"/>
      <c r="C55" s="159"/>
      <c r="D55" s="15"/>
      <c r="E55" s="15"/>
      <c r="F55" s="15"/>
      <c r="G55" s="15"/>
      <c r="H55" s="15"/>
      <c r="I55" s="15"/>
      <c r="J55" s="15"/>
    </row>
    <row r="56" spans="1:10">
      <c r="H56" s="150"/>
    </row>
    <row r="57" spans="1:10">
      <c r="H57" s="150"/>
    </row>
    <row r="58" spans="1:10">
      <c r="H58" s="150"/>
    </row>
    <row r="59" spans="1:10">
      <c r="H59" s="150"/>
    </row>
    <row r="60" spans="1:10">
      <c r="H60" s="150"/>
    </row>
    <row r="61" spans="1:10">
      <c r="H61" s="150"/>
    </row>
    <row r="62" spans="1:10">
      <c r="H62" s="150"/>
    </row>
    <row r="63" spans="1:10">
      <c r="H63" s="150"/>
    </row>
  </sheetData>
  <autoFilter ref="A11:J48" xr:uid="{00000000-0009-0000-0000-00000D000000}">
    <filterColumn colId="1" showButton="0"/>
    <filterColumn colId="3" showButton="0"/>
    <filterColumn colId="4" showButton="0"/>
    <filterColumn colId="6" showButton="0"/>
    <filterColumn colId="7" showButton="0"/>
  </autoFilter>
  <mergeCells count="45">
    <mergeCell ref="D37:F37"/>
    <mergeCell ref="D38:F38"/>
    <mergeCell ref="D39:F39"/>
    <mergeCell ref="A5:J5"/>
    <mergeCell ref="A6:J6"/>
    <mergeCell ref="A11:A12"/>
    <mergeCell ref="B11:C11"/>
    <mergeCell ref="D11:F12"/>
    <mergeCell ref="G11:I11"/>
    <mergeCell ref="J11:J12"/>
    <mergeCell ref="D20:F20"/>
    <mergeCell ref="D13:F13"/>
    <mergeCell ref="D14:F14"/>
    <mergeCell ref="D15:F15"/>
    <mergeCell ref="D16:F16"/>
    <mergeCell ref="D17:F17"/>
    <mergeCell ref="D18:F18"/>
    <mergeCell ref="B54:C54"/>
    <mergeCell ref="D54:F54"/>
    <mergeCell ref="G54:I54"/>
    <mergeCell ref="D19:F19"/>
    <mergeCell ref="D41:F41"/>
    <mergeCell ref="D42:F42"/>
    <mergeCell ref="A43:F43"/>
    <mergeCell ref="B47:C47"/>
    <mergeCell ref="D47:F47"/>
    <mergeCell ref="B48:C48"/>
    <mergeCell ref="D48:F48"/>
    <mergeCell ref="D40:F4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6:F36"/>
    <mergeCell ref="D30:F30"/>
    <mergeCell ref="D31:F31"/>
    <mergeCell ref="D32:F32"/>
    <mergeCell ref="D33:F33"/>
    <mergeCell ref="D34:F34"/>
    <mergeCell ref="D35:F35"/>
  </mergeCells>
  <phoneticPr fontId="40" type="noConversion"/>
  <printOptions horizontalCentered="1"/>
  <pageMargins left="0" right="0" top="0" bottom="0" header="0.31496062992125984" footer="0.31496062992125984"/>
  <pageSetup paperSize="9" scale="6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BCQT 2023</vt:lpstr>
      <vt:lpstr>SỔ TM 2023</vt:lpstr>
      <vt:lpstr>SỔ NH 2023</vt:lpstr>
      <vt:lpstr>BCQT (2024 6 tháng đầu năm)</vt:lpstr>
      <vt:lpstr>SỔ TM 2024 6 tháng đầu năm</vt:lpstr>
      <vt:lpstr>BCQT 2024</vt:lpstr>
      <vt:lpstr>SỔ TM 2024</vt:lpstr>
      <vt:lpstr>SỔ NH 2024</vt:lpstr>
      <vt:lpstr>BANG KIEM KE TIEN MAT 2024</vt:lpstr>
      <vt:lpstr>BCQT 2025 (01.01-31.05)</vt:lpstr>
      <vt:lpstr>BCQT 2025 (01.06-13.06) </vt:lpstr>
      <vt:lpstr>BCQT 2025 (14.06-31.12)</vt:lpstr>
      <vt:lpstr>SỔ TM 2025</vt:lpstr>
      <vt:lpstr>SỔ NH 2025 </vt:lpstr>
      <vt:lpstr>BANG KIEM KE TIEN MAT 2025</vt:lpstr>
      <vt:lpstr>SỔ TM 2026</vt:lpstr>
      <vt:lpstr>SỔ NH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HUYNHOA</dc:creator>
  <cp:lastModifiedBy>Ly Nguyễn</cp:lastModifiedBy>
  <cp:lastPrinted>2025-06-13T10:29:43Z</cp:lastPrinted>
  <dcterms:created xsi:type="dcterms:W3CDTF">2022-05-06T03:55:57Z</dcterms:created>
  <dcterms:modified xsi:type="dcterms:W3CDTF">2026-07-14T02:39:02Z</dcterms:modified>
</cp:coreProperties>
</file>