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ONG DOAN\SO SACH 2026\"/>
    </mc:Choice>
  </mc:AlternateContent>
  <xr:revisionPtr revIDLastSave="0" documentId="13_ncr:1_{DDB2374E-A60E-4E69-8C98-7B65B27976E0}" xr6:coauthVersionLast="47" xr6:coauthVersionMax="47" xr10:uidLastSave="{00000000-0000-0000-0000-000000000000}"/>
  <bookViews>
    <workbookView xWindow="-120" yWindow="-120" windowWidth="19440" windowHeight="15000" tabRatio="926" firstSheet="1" activeTab="14" xr2:uid="{00000000-000D-0000-FFFF-FFFF00000000}"/>
  </bookViews>
  <sheets>
    <sheet name="Tết dương lịch 2026" sheetId="56" r:id="rId1"/>
    <sheet name="Tet 2026" sheetId="76" r:id="rId2"/>
    <sheet name="8.3" sheetId="37" r:id="rId3"/>
    <sheet name="30-04" sheetId="38" r:id="rId4"/>
    <sheet name="02-09" sheetId="71" r:id="rId5"/>
    <sheet name="Trung thu" sheetId="54" r:id="rId6"/>
    <sheet name="20.10" sheetId="40" r:id="rId7"/>
    <sheet name="012026" sheetId="73" r:id="rId8"/>
    <sheet name="02026" sheetId="79" r:id="rId9"/>
    <sheet name="032026" sheetId="80" r:id="rId10"/>
    <sheet name="042026" sheetId="82" r:id="rId11"/>
    <sheet name="052026" sheetId="83" r:id="rId12"/>
    <sheet name="062026" sheetId="84" r:id="rId13"/>
    <sheet name="Q1.2026" sheetId="81" r:id="rId14"/>
    <sheet name="TC " sheetId="75" r:id="rId15"/>
  </sheets>
  <externalReferences>
    <externalReference r:id="rId16"/>
    <externalReference r:id="rId17"/>
  </externalReferences>
  <definedNames>
    <definedName name="_xlnm._FilterDatabase" localSheetId="14" hidden="1">'TC '!$A$9:$E$18</definedName>
    <definedName name="MaSo" localSheetId="4">[1]System!$B$10:$H$126</definedName>
    <definedName name="MaSo" localSheetId="6">[1]System!$B$10:$H$126</definedName>
    <definedName name="MaSo" localSheetId="3">[1]System!$B$10:$H$126</definedName>
    <definedName name="MaSo" localSheetId="2">[1]System!$B$10:$H$126</definedName>
    <definedName name="MaSo" localSheetId="1">[1]System!$B$10:$H$126</definedName>
    <definedName name="MaSo" localSheetId="0">[1]System!$B$10:$H$126</definedName>
    <definedName name="MaSo" localSheetId="5">[1]System!$B$10:$H$126</definedName>
    <definedName name="MaSo">[2]System!$B$10:$H$126</definedName>
    <definedName name="_xlnm.Print_Area" localSheetId="7">'012026'!$A$1:$H$59</definedName>
    <definedName name="_xlnm.Print_Area" localSheetId="8">'02026'!$A$1:$H$58</definedName>
    <definedName name="_xlnm.Print_Area" localSheetId="4">'02-09'!$A$1:$D$67</definedName>
    <definedName name="_xlnm.Print_Area" localSheetId="9">'032026'!$A$1:$H$59</definedName>
    <definedName name="_xlnm.Print_Area" localSheetId="10">'042026'!$A$1:$H$60</definedName>
    <definedName name="_xlnm.Print_Area" localSheetId="11">'052026'!$A$1:$H$60</definedName>
    <definedName name="_xlnm.Print_Area" localSheetId="12">'062026'!$A$1:$H$60</definedName>
    <definedName name="_xlnm.Print_Area" localSheetId="6">'20.10'!$A$1:$D$35</definedName>
    <definedName name="_xlnm.Print_Area" localSheetId="3">'30-04'!$A$1:$D$58</definedName>
    <definedName name="_xlnm.Print_Area" localSheetId="2">'8.3'!$A$1:$D$38</definedName>
    <definedName name="_xlnm.Print_Area" localSheetId="13">'Q1.2026'!$A$1:$H$59</definedName>
    <definedName name="_xlnm.Print_Area" localSheetId="14">'TC '!$A$1:$H$21</definedName>
    <definedName name="_xlnm.Print_Area" localSheetId="1">'Tet 2026'!$A$1:$D$53</definedName>
    <definedName name="_xlnm.Print_Area" localSheetId="0">'Tết dương lịch 2026'!$A$1:$D$57</definedName>
    <definedName name="_xlnm.Print_Area" localSheetId="5">'Trung thu'!$A$1:$E$24</definedName>
    <definedName name="_xlnm.Print_Titles" localSheetId="7">'012026'!$5:$6</definedName>
    <definedName name="_xlnm.Print_Titles" localSheetId="8">'02026'!$5:$6</definedName>
    <definedName name="_xlnm.Print_Titles" localSheetId="4">'02-09'!$5:$6</definedName>
    <definedName name="_xlnm.Print_Titles" localSheetId="9">'032026'!$5:$6</definedName>
    <definedName name="_xlnm.Print_Titles" localSheetId="10">'042026'!$5:$6</definedName>
    <definedName name="_xlnm.Print_Titles" localSheetId="11">'052026'!$5:$6</definedName>
    <definedName name="_xlnm.Print_Titles" localSheetId="12">'062026'!$5:$6</definedName>
    <definedName name="_xlnm.Print_Titles" localSheetId="3">'30-04'!$5:$6</definedName>
    <definedName name="_xlnm.Print_Titles" localSheetId="13">'Q1.2026'!$5:$6</definedName>
    <definedName name="_xlnm.Print_Titles" localSheetId="1">'Tet 2026'!$5:$6</definedName>
    <definedName name="_xlnm.Print_Titles" localSheetId="0">'Tết dương lịch 2026'!$5:$6</definedName>
  </definedNames>
  <calcPr calcId="191029"/>
</workbook>
</file>

<file path=xl/calcChain.xml><?xml version="1.0" encoding="utf-8"?>
<calcChain xmlns="http://schemas.openxmlformats.org/spreadsheetml/2006/main">
  <c r="C11" i="75" l="1"/>
  <c r="D41" i="84" l="1"/>
  <c r="E41" i="84"/>
  <c r="F41" i="84"/>
  <c r="G41" i="84"/>
  <c r="H41" i="84"/>
  <c r="C48" i="38"/>
  <c r="C28" i="37"/>
  <c r="C15" i="75" l="1"/>
  <c r="D15" i="75" s="1"/>
  <c r="C52" i="84"/>
  <c r="C16" i="75" s="1"/>
  <c r="D16" i="75" s="1"/>
  <c r="H50" i="84"/>
  <c r="G50" i="84"/>
  <c r="F50" i="84"/>
  <c r="E50" i="84"/>
  <c r="D50" i="84"/>
  <c r="H49" i="84"/>
  <c r="G49" i="84"/>
  <c r="F49" i="84"/>
  <c r="E49" i="84"/>
  <c r="D49" i="84"/>
  <c r="H48" i="84"/>
  <c r="G48" i="84"/>
  <c r="F48" i="84"/>
  <c r="E48" i="84"/>
  <c r="D48" i="84"/>
  <c r="H47" i="84"/>
  <c r="G47" i="84"/>
  <c r="F47" i="84"/>
  <c r="E47" i="84"/>
  <c r="D47" i="84"/>
  <c r="H46" i="84"/>
  <c r="G46" i="84"/>
  <c r="F46" i="84"/>
  <c r="E46" i="84"/>
  <c r="D46" i="84"/>
  <c r="H45" i="84"/>
  <c r="G45" i="84"/>
  <c r="F45" i="84"/>
  <c r="E45" i="84"/>
  <c r="D45" i="84"/>
  <c r="H44" i="84"/>
  <c r="G44" i="84"/>
  <c r="F44" i="84"/>
  <c r="E44" i="84"/>
  <c r="D44" i="84"/>
  <c r="H43" i="84"/>
  <c r="G43" i="84"/>
  <c r="F43" i="84"/>
  <c r="E43" i="84"/>
  <c r="D43" i="84"/>
  <c r="H42" i="84"/>
  <c r="G42" i="84"/>
  <c r="F42" i="84"/>
  <c r="E42" i="84"/>
  <c r="D42" i="84"/>
  <c r="H40" i="84"/>
  <c r="G40" i="84"/>
  <c r="F40" i="84"/>
  <c r="E40" i="84"/>
  <c r="D40" i="84"/>
  <c r="H39" i="84"/>
  <c r="G39" i="84"/>
  <c r="F39" i="84"/>
  <c r="E39" i="84"/>
  <c r="D39" i="84"/>
  <c r="H38" i="84"/>
  <c r="G38" i="84"/>
  <c r="F38" i="84"/>
  <c r="E38" i="84"/>
  <c r="D38" i="84"/>
  <c r="H37" i="84"/>
  <c r="G37" i="84"/>
  <c r="F37" i="84"/>
  <c r="E37" i="84"/>
  <c r="D37" i="84"/>
  <c r="H36" i="84"/>
  <c r="G36" i="84"/>
  <c r="F36" i="84"/>
  <c r="E36" i="84"/>
  <c r="D36" i="84"/>
  <c r="H35" i="84"/>
  <c r="G35" i="84"/>
  <c r="F35" i="84"/>
  <c r="E35" i="84"/>
  <c r="D35" i="84"/>
  <c r="H34" i="84"/>
  <c r="G34" i="84"/>
  <c r="F34" i="84"/>
  <c r="E34" i="84"/>
  <c r="D34" i="84"/>
  <c r="H33" i="84"/>
  <c r="G33" i="84"/>
  <c r="F33" i="84"/>
  <c r="E33" i="84"/>
  <c r="D33" i="84"/>
  <c r="H32" i="84"/>
  <c r="G32" i="84"/>
  <c r="F32" i="84"/>
  <c r="E32" i="84"/>
  <c r="D32" i="84"/>
  <c r="H31" i="84"/>
  <c r="G31" i="84"/>
  <c r="F31" i="84"/>
  <c r="E31" i="84"/>
  <c r="D31" i="84"/>
  <c r="H30" i="84"/>
  <c r="G30" i="84"/>
  <c r="F30" i="84"/>
  <c r="E30" i="84"/>
  <c r="D30" i="84"/>
  <c r="H29" i="84"/>
  <c r="G29" i="84"/>
  <c r="F29" i="84"/>
  <c r="E29" i="84"/>
  <c r="D29" i="84"/>
  <c r="H28" i="84"/>
  <c r="G28" i="84"/>
  <c r="F28" i="84"/>
  <c r="E28" i="84"/>
  <c r="D28" i="84"/>
  <c r="H27" i="84"/>
  <c r="G27" i="84"/>
  <c r="F27" i="84"/>
  <c r="E27" i="84"/>
  <c r="D27" i="84"/>
  <c r="H26" i="84"/>
  <c r="G26" i="84"/>
  <c r="F26" i="84"/>
  <c r="E26" i="84"/>
  <c r="D26" i="84"/>
  <c r="H25" i="84"/>
  <c r="G25" i="84"/>
  <c r="F25" i="84"/>
  <c r="E25" i="84"/>
  <c r="D25" i="84"/>
  <c r="H24" i="84"/>
  <c r="G24" i="84"/>
  <c r="F24" i="84"/>
  <c r="E24" i="84"/>
  <c r="D24" i="84"/>
  <c r="H23" i="84"/>
  <c r="G23" i="84"/>
  <c r="F23" i="84"/>
  <c r="E23" i="84"/>
  <c r="D23" i="84"/>
  <c r="H22" i="84"/>
  <c r="G22" i="84"/>
  <c r="F22" i="84"/>
  <c r="E22" i="84"/>
  <c r="D22" i="84"/>
  <c r="H21" i="84"/>
  <c r="G21" i="84"/>
  <c r="F21" i="84"/>
  <c r="E21" i="84"/>
  <c r="D21" i="84"/>
  <c r="H20" i="84"/>
  <c r="G20" i="84"/>
  <c r="F20" i="84"/>
  <c r="E20" i="84"/>
  <c r="D20" i="84"/>
  <c r="H19" i="84"/>
  <c r="G19" i="84"/>
  <c r="F19" i="84"/>
  <c r="E19" i="84"/>
  <c r="D19" i="84"/>
  <c r="H18" i="84"/>
  <c r="G18" i="84"/>
  <c r="F18" i="84"/>
  <c r="E18" i="84"/>
  <c r="D18" i="84"/>
  <c r="H17" i="84"/>
  <c r="G17" i="84"/>
  <c r="F17" i="84"/>
  <c r="E17" i="84"/>
  <c r="D17" i="84"/>
  <c r="H16" i="84"/>
  <c r="G16" i="84"/>
  <c r="F16" i="84"/>
  <c r="E16" i="84"/>
  <c r="D16" i="84"/>
  <c r="H15" i="84"/>
  <c r="G15" i="84"/>
  <c r="F15" i="84"/>
  <c r="E15" i="84"/>
  <c r="D15" i="84"/>
  <c r="H14" i="84"/>
  <c r="G14" i="84"/>
  <c r="F14" i="84"/>
  <c r="E14" i="84"/>
  <c r="D14" i="84"/>
  <c r="H13" i="84"/>
  <c r="G13" i="84"/>
  <c r="F13" i="84"/>
  <c r="E13" i="84"/>
  <c r="D13" i="84"/>
  <c r="H12" i="84"/>
  <c r="G12" i="84"/>
  <c r="F12" i="84"/>
  <c r="E12" i="84"/>
  <c r="D12" i="84"/>
  <c r="H11" i="84"/>
  <c r="G11" i="84"/>
  <c r="F11" i="84"/>
  <c r="E11" i="84"/>
  <c r="D11" i="84"/>
  <c r="H10" i="84"/>
  <c r="G10" i="84"/>
  <c r="F10" i="84"/>
  <c r="E10" i="84"/>
  <c r="D10" i="84"/>
  <c r="H9" i="84"/>
  <c r="G9" i="84"/>
  <c r="F9" i="84"/>
  <c r="E9" i="84"/>
  <c r="D9" i="84"/>
  <c r="H8" i="84"/>
  <c r="G8" i="84"/>
  <c r="F8" i="84"/>
  <c r="E8" i="84"/>
  <c r="D8" i="84"/>
  <c r="H7" i="84"/>
  <c r="G7" i="84"/>
  <c r="F7" i="84"/>
  <c r="E7" i="84"/>
  <c r="D7" i="84"/>
  <c r="H34" i="81"/>
  <c r="G34" i="81"/>
  <c r="F34" i="81"/>
  <c r="E34" i="81"/>
  <c r="D34" i="81"/>
  <c r="G51" i="80"/>
  <c r="F51" i="80"/>
  <c r="H49" i="81"/>
  <c r="G49" i="81"/>
  <c r="F49" i="81"/>
  <c r="H36" i="81"/>
  <c r="H8" i="81"/>
  <c r="H9" i="81"/>
  <c r="H10" i="81"/>
  <c r="H11" i="81"/>
  <c r="H12" i="81"/>
  <c r="H13" i="81"/>
  <c r="H14" i="81"/>
  <c r="H15" i="81"/>
  <c r="H16" i="81"/>
  <c r="H17" i="81"/>
  <c r="H18" i="81"/>
  <c r="H19" i="81"/>
  <c r="H20" i="81"/>
  <c r="H21" i="81"/>
  <c r="H22" i="81"/>
  <c r="H23" i="81"/>
  <c r="H24" i="81"/>
  <c r="H25" i="81"/>
  <c r="H26" i="81"/>
  <c r="H27" i="81"/>
  <c r="H28" i="81"/>
  <c r="H29" i="81"/>
  <c r="H30" i="81"/>
  <c r="H31" i="81"/>
  <c r="H32" i="81"/>
  <c r="H33" i="81"/>
  <c r="H35" i="81"/>
  <c r="H37" i="81"/>
  <c r="H38" i="81"/>
  <c r="H39" i="81"/>
  <c r="H40" i="81"/>
  <c r="H41" i="81"/>
  <c r="H42" i="81"/>
  <c r="H43" i="81"/>
  <c r="H44" i="81"/>
  <c r="H45" i="81"/>
  <c r="H46" i="81"/>
  <c r="H47" i="81"/>
  <c r="H48" i="81"/>
  <c r="H7" i="81"/>
  <c r="G52" i="84" l="1"/>
  <c r="F52" i="84"/>
  <c r="D52" i="84"/>
  <c r="D53" i="84" s="1"/>
  <c r="H52" i="84"/>
  <c r="E52" i="84"/>
  <c r="G16" i="75"/>
  <c r="E16" i="75"/>
  <c r="F16" i="75" s="1"/>
  <c r="H16" i="75"/>
  <c r="G15" i="75"/>
  <c r="E15" i="75"/>
  <c r="F15" i="75" s="1"/>
  <c r="H15" i="75"/>
  <c r="I36" i="73" l="1"/>
  <c r="G36" i="81"/>
  <c r="F36" i="81"/>
  <c r="E36" i="81"/>
  <c r="D36" i="81"/>
  <c r="F35" i="81"/>
  <c r="D53" i="83" l="1"/>
  <c r="D46" i="83"/>
  <c r="E46" i="83"/>
  <c r="F46" i="83"/>
  <c r="G46" i="83"/>
  <c r="H46" i="83"/>
  <c r="C52" i="83"/>
  <c r="H50" i="83"/>
  <c r="G50" i="83"/>
  <c r="F50" i="83"/>
  <c r="E50" i="83"/>
  <c r="D50" i="83"/>
  <c r="H49" i="83"/>
  <c r="G49" i="83"/>
  <c r="F49" i="83"/>
  <c r="E49" i="83"/>
  <c r="D49" i="83"/>
  <c r="H48" i="83"/>
  <c r="G48" i="83"/>
  <c r="F48" i="83"/>
  <c r="E48" i="83"/>
  <c r="D48" i="83"/>
  <c r="H47" i="83"/>
  <c r="G47" i="83"/>
  <c r="F47" i="83"/>
  <c r="E47" i="83"/>
  <c r="D47" i="83"/>
  <c r="H45" i="83"/>
  <c r="G45" i="83"/>
  <c r="F45" i="83"/>
  <c r="E45" i="83"/>
  <c r="D45" i="83"/>
  <c r="H44" i="83"/>
  <c r="G44" i="83"/>
  <c r="F44" i="83"/>
  <c r="E44" i="83"/>
  <c r="D44" i="83"/>
  <c r="H43" i="83"/>
  <c r="G43" i="83"/>
  <c r="F43" i="83"/>
  <c r="E43" i="83"/>
  <c r="D43" i="83"/>
  <c r="H42" i="83"/>
  <c r="G42" i="83"/>
  <c r="F42" i="83"/>
  <c r="E42" i="83"/>
  <c r="D42" i="83"/>
  <c r="H41" i="83"/>
  <c r="G41" i="83"/>
  <c r="F41" i="83"/>
  <c r="E41" i="83"/>
  <c r="D41" i="83"/>
  <c r="H40" i="83"/>
  <c r="G40" i="83"/>
  <c r="F40" i="83"/>
  <c r="E40" i="83"/>
  <c r="D40" i="83"/>
  <c r="H39" i="83"/>
  <c r="G39" i="83"/>
  <c r="F39" i="83"/>
  <c r="E39" i="83"/>
  <c r="D39" i="83"/>
  <c r="H38" i="83"/>
  <c r="G38" i="83"/>
  <c r="F38" i="83"/>
  <c r="E38" i="83"/>
  <c r="D38" i="83"/>
  <c r="H37" i="83"/>
  <c r="G37" i="83"/>
  <c r="F37" i="83"/>
  <c r="E37" i="83"/>
  <c r="D37" i="83"/>
  <c r="H36" i="83"/>
  <c r="G36" i="83"/>
  <c r="F36" i="83"/>
  <c r="E36" i="83"/>
  <c r="D36" i="83"/>
  <c r="H35" i="83"/>
  <c r="G35" i="83"/>
  <c r="F35" i="83"/>
  <c r="E35" i="83"/>
  <c r="D35" i="83"/>
  <c r="H34" i="83"/>
  <c r="G34" i="83"/>
  <c r="F34" i="83"/>
  <c r="E34" i="83"/>
  <c r="D34" i="83"/>
  <c r="H33" i="83"/>
  <c r="G33" i="83"/>
  <c r="F33" i="83"/>
  <c r="E33" i="83"/>
  <c r="D33" i="83"/>
  <c r="H32" i="83"/>
  <c r="G32" i="83"/>
  <c r="F32" i="83"/>
  <c r="E32" i="83"/>
  <c r="D32" i="83"/>
  <c r="H31" i="83"/>
  <c r="G31" i="83"/>
  <c r="F31" i="83"/>
  <c r="E31" i="83"/>
  <c r="D31" i="83"/>
  <c r="H30" i="83"/>
  <c r="G30" i="83"/>
  <c r="F30" i="83"/>
  <c r="E30" i="83"/>
  <c r="D30" i="83"/>
  <c r="H29" i="83"/>
  <c r="G29" i="83"/>
  <c r="F29" i="83"/>
  <c r="E29" i="83"/>
  <c r="D29" i="83"/>
  <c r="H28" i="83"/>
  <c r="G28" i="83"/>
  <c r="F28" i="83"/>
  <c r="E28" i="83"/>
  <c r="D28" i="83"/>
  <c r="H27" i="83"/>
  <c r="G27" i="83"/>
  <c r="F27" i="83"/>
  <c r="E27" i="83"/>
  <c r="D27" i="83"/>
  <c r="H26" i="83"/>
  <c r="G26" i="83"/>
  <c r="F26" i="83"/>
  <c r="E26" i="83"/>
  <c r="D26" i="83"/>
  <c r="H25" i="83"/>
  <c r="G25" i="83"/>
  <c r="F25" i="83"/>
  <c r="E25" i="83"/>
  <c r="D25" i="83"/>
  <c r="H24" i="83"/>
  <c r="G24" i="83"/>
  <c r="F24" i="83"/>
  <c r="E24" i="83"/>
  <c r="D24" i="83"/>
  <c r="H23" i="83"/>
  <c r="G23" i="83"/>
  <c r="F23" i="83"/>
  <c r="E23" i="83"/>
  <c r="D23" i="83"/>
  <c r="H22" i="83"/>
  <c r="G22" i="83"/>
  <c r="F22" i="83"/>
  <c r="E22" i="83"/>
  <c r="D22" i="83"/>
  <c r="H21" i="83"/>
  <c r="G21" i="83"/>
  <c r="F21" i="83"/>
  <c r="E21" i="83"/>
  <c r="D21" i="83"/>
  <c r="H20" i="83"/>
  <c r="G20" i="83"/>
  <c r="F20" i="83"/>
  <c r="E20" i="83"/>
  <c r="D20" i="83"/>
  <c r="H19" i="83"/>
  <c r="G19" i="83"/>
  <c r="F19" i="83"/>
  <c r="E19" i="83"/>
  <c r="D19" i="83"/>
  <c r="H18" i="83"/>
  <c r="G18" i="83"/>
  <c r="F18" i="83"/>
  <c r="E18" i="83"/>
  <c r="D18" i="83"/>
  <c r="H17" i="83"/>
  <c r="G17" i="83"/>
  <c r="F17" i="83"/>
  <c r="E17" i="83"/>
  <c r="D17" i="83"/>
  <c r="H16" i="83"/>
  <c r="G16" i="83"/>
  <c r="F16" i="83"/>
  <c r="E16" i="83"/>
  <c r="D16" i="83"/>
  <c r="H15" i="83"/>
  <c r="G15" i="83"/>
  <c r="F15" i="83"/>
  <c r="E15" i="83"/>
  <c r="D15" i="83"/>
  <c r="H14" i="83"/>
  <c r="G14" i="83"/>
  <c r="F14" i="83"/>
  <c r="E14" i="83"/>
  <c r="D14" i="83"/>
  <c r="H13" i="83"/>
  <c r="G13" i="83"/>
  <c r="F13" i="83"/>
  <c r="E13" i="83"/>
  <c r="D13" i="83"/>
  <c r="H12" i="83"/>
  <c r="G12" i="83"/>
  <c r="F12" i="83"/>
  <c r="E12" i="83"/>
  <c r="D12" i="83"/>
  <c r="H11" i="83"/>
  <c r="G11" i="83"/>
  <c r="F11" i="83"/>
  <c r="E11" i="83"/>
  <c r="D11" i="83"/>
  <c r="H10" i="83"/>
  <c r="G10" i="83"/>
  <c r="F10" i="83"/>
  <c r="E10" i="83"/>
  <c r="D10" i="83"/>
  <c r="H9" i="83"/>
  <c r="G9" i="83"/>
  <c r="F9" i="83"/>
  <c r="E9" i="83"/>
  <c r="D9" i="83"/>
  <c r="H8" i="83"/>
  <c r="G8" i="83"/>
  <c r="F8" i="83"/>
  <c r="E8" i="83"/>
  <c r="E52" i="83" s="1"/>
  <c r="D8" i="83"/>
  <c r="H7" i="83"/>
  <c r="H52" i="83" s="1"/>
  <c r="G7" i="83"/>
  <c r="F7" i="83"/>
  <c r="F52" i="83" s="1"/>
  <c r="E7" i="83"/>
  <c r="D7" i="83"/>
  <c r="D52" i="83" s="1"/>
  <c r="G52" i="83" l="1"/>
  <c r="C14" i="75" l="1"/>
  <c r="D14" i="75" s="1"/>
  <c r="H22" i="82"/>
  <c r="G22" i="82"/>
  <c r="F22" i="82"/>
  <c r="E22" i="82"/>
  <c r="D22" i="82"/>
  <c r="C52" i="82"/>
  <c r="H50" i="82"/>
  <c r="G50" i="82"/>
  <c r="F50" i="82"/>
  <c r="E50" i="82"/>
  <c r="D50" i="82"/>
  <c r="H49" i="82"/>
  <c r="G49" i="82"/>
  <c r="F49" i="82"/>
  <c r="E49" i="82"/>
  <c r="D49" i="82"/>
  <c r="H48" i="82"/>
  <c r="G48" i="82"/>
  <c r="F48" i="82"/>
  <c r="E48" i="82"/>
  <c r="D48" i="82"/>
  <c r="H47" i="82"/>
  <c r="G47" i="82"/>
  <c r="F47" i="82"/>
  <c r="E47" i="82"/>
  <c r="D47" i="82"/>
  <c r="H46" i="82"/>
  <c r="G46" i="82"/>
  <c r="F46" i="82"/>
  <c r="E46" i="82"/>
  <c r="D46" i="82"/>
  <c r="H45" i="82"/>
  <c r="G45" i="82"/>
  <c r="F45" i="82"/>
  <c r="E45" i="82"/>
  <c r="D45" i="82"/>
  <c r="H44" i="82"/>
  <c r="G44" i="82"/>
  <c r="F44" i="82"/>
  <c r="E44" i="82"/>
  <c r="D44" i="82"/>
  <c r="H43" i="82"/>
  <c r="G43" i="82"/>
  <c r="F43" i="82"/>
  <c r="E43" i="82"/>
  <c r="D43" i="82"/>
  <c r="H42" i="82"/>
  <c r="G42" i="82"/>
  <c r="F42" i="82"/>
  <c r="E42" i="82"/>
  <c r="D42" i="82"/>
  <c r="H41" i="82"/>
  <c r="G41" i="82"/>
  <c r="F41" i="82"/>
  <c r="E41" i="82"/>
  <c r="D41" i="82"/>
  <c r="H40" i="82"/>
  <c r="G40" i="82"/>
  <c r="F40" i="82"/>
  <c r="E40" i="82"/>
  <c r="D40" i="82"/>
  <c r="H39" i="82"/>
  <c r="G39" i="82"/>
  <c r="F39" i="82"/>
  <c r="E39" i="82"/>
  <c r="D39" i="82"/>
  <c r="H38" i="82"/>
  <c r="G38" i="82"/>
  <c r="F38" i="82"/>
  <c r="E38" i="82"/>
  <c r="D38" i="82"/>
  <c r="H37" i="82"/>
  <c r="G37" i="82"/>
  <c r="F37" i="82"/>
  <c r="E37" i="82"/>
  <c r="D37" i="82"/>
  <c r="H36" i="82"/>
  <c r="G36" i="82"/>
  <c r="F36" i="82"/>
  <c r="E36" i="82"/>
  <c r="D36" i="82"/>
  <c r="H35" i="82"/>
  <c r="G35" i="82"/>
  <c r="F35" i="82"/>
  <c r="E35" i="82"/>
  <c r="D35" i="82"/>
  <c r="H34" i="82"/>
  <c r="G34" i="82"/>
  <c r="F34" i="82"/>
  <c r="E34" i="82"/>
  <c r="D34" i="82"/>
  <c r="H33" i="82"/>
  <c r="G33" i="82"/>
  <c r="F33" i="82"/>
  <c r="E33" i="82"/>
  <c r="D33" i="82"/>
  <c r="H32" i="82"/>
  <c r="G32" i="82"/>
  <c r="F32" i="82"/>
  <c r="E32" i="82"/>
  <c r="D32" i="82"/>
  <c r="H31" i="82"/>
  <c r="G31" i="82"/>
  <c r="F31" i="82"/>
  <c r="E31" i="82"/>
  <c r="D31" i="82"/>
  <c r="H30" i="82"/>
  <c r="G30" i="82"/>
  <c r="F30" i="82"/>
  <c r="E30" i="82"/>
  <c r="D30" i="82"/>
  <c r="H29" i="82"/>
  <c r="G29" i="82"/>
  <c r="F29" i="82"/>
  <c r="E29" i="82"/>
  <c r="D29" i="82"/>
  <c r="H28" i="82"/>
  <c r="G28" i="82"/>
  <c r="F28" i="82"/>
  <c r="E28" i="82"/>
  <c r="D28" i="82"/>
  <c r="H27" i="82"/>
  <c r="G27" i="82"/>
  <c r="F27" i="82"/>
  <c r="E27" i="82"/>
  <c r="D27" i="82"/>
  <c r="H26" i="82"/>
  <c r="G26" i="82"/>
  <c r="F26" i="82"/>
  <c r="E26" i="82"/>
  <c r="D26" i="82"/>
  <c r="H25" i="82"/>
  <c r="G25" i="82"/>
  <c r="F25" i="82"/>
  <c r="E25" i="82"/>
  <c r="D25" i="82"/>
  <c r="H24" i="82"/>
  <c r="G24" i="82"/>
  <c r="F24" i="82"/>
  <c r="E24" i="82"/>
  <c r="D24" i="82"/>
  <c r="H23" i="82"/>
  <c r="G23" i="82"/>
  <c r="F23" i="82"/>
  <c r="E23" i="82"/>
  <c r="D23" i="82"/>
  <c r="H21" i="82"/>
  <c r="G21" i="82"/>
  <c r="F21" i="82"/>
  <c r="E21" i="82"/>
  <c r="D21" i="82"/>
  <c r="H20" i="82"/>
  <c r="G20" i="82"/>
  <c r="F20" i="82"/>
  <c r="E20" i="82"/>
  <c r="D20" i="82"/>
  <c r="H19" i="82"/>
  <c r="G19" i="82"/>
  <c r="F19" i="82"/>
  <c r="E19" i="82"/>
  <c r="D19" i="82"/>
  <c r="H18" i="82"/>
  <c r="G18" i="82"/>
  <c r="F18" i="82"/>
  <c r="E18" i="82"/>
  <c r="D18" i="82"/>
  <c r="H17" i="82"/>
  <c r="G17" i="82"/>
  <c r="F17" i="82"/>
  <c r="E17" i="82"/>
  <c r="D17" i="82"/>
  <c r="H16" i="82"/>
  <c r="G16" i="82"/>
  <c r="F16" i="82"/>
  <c r="E16" i="82"/>
  <c r="D16" i="82"/>
  <c r="H15" i="82"/>
  <c r="G15" i="82"/>
  <c r="F15" i="82"/>
  <c r="E15" i="82"/>
  <c r="D15" i="82"/>
  <c r="H14" i="82"/>
  <c r="G14" i="82"/>
  <c r="F14" i="82"/>
  <c r="E14" i="82"/>
  <c r="D14" i="82"/>
  <c r="H13" i="82"/>
  <c r="G13" i="82"/>
  <c r="F13" i="82"/>
  <c r="E13" i="82"/>
  <c r="D13" i="82"/>
  <c r="H12" i="82"/>
  <c r="G12" i="82"/>
  <c r="F12" i="82"/>
  <c r="E12" i="82"/>
  <c r="D12" i="82"/>
  <c r="H11" i="82"/>
  <c r="G11" i="82"/>
  <c r="F11" i="82"/>
  <c r="E11" i="82"/>
  <c r="D11" i="82"/>
  <c r="H10" i="82"/>
  <c r="G10" i="82"/>
  <c r="F10" i="82"/>
  <c r="E10" i="82"/>
  <c r="D10" i="82"/>
  <c r="H9" i="82"/>
  <c r="G9" i="82"/>
  <c r="F9" i="82"/>
  <c r="E9" i="82"/>
  <c r="D9" i="82"/>
  <c r="H8" i="82"/>
  <c r="G8" i="82"/>
  <c r="F8" i="82"/>
  <c r="E8" i="82"/>
  <c r="D8" i="82"/>
  <c r="H7" i="82"/>
  <c r="G7" i="82"/>
  <c r="F7" i="82"/>
  <c r="E7" i="82"/>
  <c r="E52" i="82" s="1"/>
  <c r="D7" i="82"/>
  <c r="E49" i="81"/>
  <c r="D49" i="81"/>
  <c r="H34" i="80"/>
  <c r="G34" i="80"/>
  <c r="F34" i="80"/>
  <c r="E34" i="80"/>
  <c r="D34" i="80"/>
  <c r="C51" i="80"/>
  <c r="H49" i="80"/>
  <c r="G49" i="80"/>
  <c r="F49" i="80"/>
  <c r="E49" i="80"/>
  <c r="D49" i="80"/>
  <c r="D51" i="73"/>
  <c r="C50" i="73"/>
  <c r="D17" i="73"/>
  <c r="H14" i="75" l="1"/>
  <c r="G14" i="75"/>
  <c r="E14" i="75"/>
  <c r="F14" i="75" s="1"/>
  <c r="F52" i="82"/>
  <c r="G52" i="82"/>
  <c r="D52" i="82"/>
  <c r="H52" i="82"/>
  <c r="G47" i="81"/>
  <c r="F47" i="81"/>
  <c r="E47" i="81"/>
  <c r="D47" i="81"/>
  <c r="H47" i="80"/>
  <c r="G47" i="80"/>
  <c r="F47" i="80"/>
  <c r="E47" i="80"/>
  <c r="D47" i="80"/>
  <c r="H47" i="79"/>
  <c r="G47" i="79"/>
  <c r="F47" i="79"/>
  <c r="E47" i="79"/>
  <c r="D47" i="79"/>
  <c r="H48" i="73"/>
  <c r="G48" i="73"/>
  <c r="F48" i="73"/>
  <c r="E48" i="73"/>
  <c r="D48" i="73"/>
  <c r="C48" i="76"/>
  <c r="C51" i="81" l="1"/>
  <c r="G29" i="81"/>
  <c r="F29" i="81"/>
  <c r="E29" i="81"/>
  <c r="D29" i="81"/>
  <c r="D45" i="81"/>
  <c r="E45" i="81"/>
  <c r="F45" i="81"/>
  <c r="G45" i="81"/>
  <c r="D46" i="81"/>
  <c r="E46" i="81"/>
  <c r="F46" i="81"/>
  <c r="G46" i="81"/>
  <c r="D48" i="81"/>
  <c r="E48" i="81"/>
  <c r="F48" i="81"/>
  <c r="G48" i="81"/>
  <c r="D31" i="81"/>
  <c r="E31" i="81"/>
  <c r="F31" i="81"/>
  <c r="G31" i="81"/>
  <c r="D32" i="81"/>
  <c r="E32" i="81"/>
  <c r="F32" i="81"/>
  <c r="G32" i="81"/>
  <c r="D33" i="81"/>
  <c r="E33" i="81"/>
  <c r="F33" i="81"/>
  <c r="G33" i="81"/>
  <c r="D35" i="81"/>
  <c r="E35" i="81"/>
  <c r="G35" i="81"/>
  <c r="D37" i="81"/>
  <c r="E37" i="81"/>
  <c r="F37" i="81"/>
  <c r="G37" i="81"/>
  <c r="D38" i="81"/>
  <c r="E38" i="81"/>
  <c r="F38" i="81"/>
  <c r="G38" i="81"/>
  <c r="D39" i="81"/>
  <c r="E39" i="81"/>
  <c r="F39" i="81"/>
  <c r="G39" i="81"/>
  <c r="D40" i="81"/>
  <c r="E40" i="81"/>
  <c r="F40" i="81"/>
  <c r="G40" i="81"/>
  <c r="D41" i="81"/>
  <c r="E41" i="81"/>
  <c r="F41" i="81"/>
  <c r="G41" i="81"/>
  <c r="D42" i="81"/>
  <c r="E42" i="81"/>
  <c r="F42" i="81"/>
  <c r="G42" i="81"/>
  <c r="D43" i="81"/>
  <c r="E43" i="81"/>
  <c r="F43" i="81"/>
  <c r="G43" i="81"/>
  <c r="D44" i="81"/>
  <c r="E44" i="81"/>
  <c r="F44" i="81"/>
  <c r="G44" i="81"/>
  <c r="G30" i="81"/>
  <c r="F30" i="81"/>
  <c r="E30" i="81"/>
  <c r="D30" i="81"/>
  <c r="D28" i="81"/>
  <c r="E28" i="81"/>
  <c r="F28" i="81"/>
  <c r="G28" i="81"/>
  <c r="G27" i="81"/>
  <c r="F27" i="81"/>
  <c r="E27" i="81"/>
  <c r="D27" i="81"/>
  <c r="G26" i="81"/>
  <c r="F26" i="81"/>
  <c r="E26" i="81"/>
  <c r="D26" i="81"/>
  <c r="D8" i="81"/>
  <c r="E8" i="81"/>
  <c r="F8" i="81"/>
  <c r="G8" i="81"/>
  <c r="D9" i="81"/>
  <c r="E9" i="81"/>
  <c r="F9" i="81"/>
  <c r="G9" i="81"/>
  <c r="D10" i="81"/>
  <c r="E10" i="81"/>
  <c r="F10" i="81"/>
  <c r="G10" i="81"/>
  <c r="D11" i="81"/>
  <c r="E11" i="81"/>
  <c r="F11" i="81"/>
  <c r="G11" i="81"/>
  <c r="D12" i="81"/>
  <c r="E12" i="81"/>
  <c r="F12" i="81"/>
  <c r="G12" i="81"/>
  <c r="D13" i="81"/>
  <c r="E13" i="81"/>
  <c r="F13" i="81"/>
  <c r="G13" i="81"/>
  <c r="D14" i="81"/>
  <c r="E14" i="81"/>
  <c r="F14" i="81"/>
  <c r="G14" i="81"/>
  <c r="D15" i="81"/>
  <c r="E15" i="81"/>
  <c r="F15" i="81"/>
  <c r="G15" i="81"/>
  <c r="D16" i="81"/>
  <c r="E16" i="81"/>
  <c r="F16" i="81"/>
  <c r="G16" i="81"/>
  <c r="D17" i="81"/>
  <c r="E17" i="81"/>
  <c r="F17" i="81"/>
  <c r="G17" i="81"/>
  <c r="D18" i="81"/>
  <c r="E18" i="81"/>
  <c r="F18" i="81"/>
  <c r="G18" i="81"/>
  <c r="D19" i="81"/>
  <c r="E19" i="81"/>
  <c r="F19" i="81"/>
  <c r="G19" i="81"/>
  <c r="D20" i="81"/>
  <c r="E20" i="81"/>
  <c r="F20" i="81"/>
  <c r="G20" i="81"/>
  <c r="D21" i="81"/>
  <c r="E21" i="81"/>
  <c r="F21" i="81"/>
  <c r="G21" i="81"/>
  <c r="D22" i="81"/>
  <c r="E22" i="81"/>
  <c r="F22" i="81"/>
  <c r="G22" i="81"/>
  <c r="D23" i="81"/>
  <c r="E23" i="81"/>
  <c r="F23" i="81"/>
  <c r="G23" i="81"/>
  <c r="D24" i="81"/>
  <c r="E24" i="81"/>
  <c r="F24" i="81"/>
  <c r="G24" i="81"/>
  <c r="D25" i="81"/>
  <c r="E25" i="81"/>
  <c r="F25" i="81"/>
  <c r="G25" i="81"/>
  <c r="G7" i="81"/>
  <c r="F7" i="81"/>
  <c r="E7" i="81"/>
  <c r="D7" i="81"/>
  <c r="C13" i="75"/>
  <c r="H13" i="75" s="1"/>
  <c r="H48" i="80"/>
  <c r="G48" i="80"/>
  <c r="F48" i="80"/>
  <c r="E48" i="80"/>
  <c r="D48" i="80"/>
  <c r="H46" i="80"/>
  <c r="G46" i="80"/>
  <c r="F46" i="80"/>
  <c r="E46" i="80"/>
  <c r="D46" i="80"/>
  <c r="H45" i="80"/>
  <c r="G45" i="80"/>
  <c r="F45" i="80"/>
  <c r="E45" i="80"/>
  <c r="D45" i="80"/>
  <c r="H44" i="80"/>
  <c r="G44" i="80"/>
  <c r="F44" i="80"/>
  <c r="E44" i="80"/>
  <c r="D44" i="80"/>
  <c r="H43" i="80"/>
  <c r="G43" i="80"/>
  <c r="F43" i="80"/>
  <c r="E43" i="80"/>
  <c r="D43" i="80"/>
  <c r="H42" i="80"/>
  <c r="G42" i="80"/>
  <c r="F42" i="80"/>
  <c r="E42" i="80"/>
  <c r="D42" i="80"/>
  <c r="H41" i="80"/>
  <c r="G41" i="80"/>
  <c r="F41" i="80"/>
  <c r="E41" i="80"/>
  <c r="D41" i="80"/>
  <c r="H40" i="80"/>
  <c r="G40" i="80"/>
  <c r="F40" i="80"/>
  <c r="E40" i="80"/>
  <c r="D40" i="80"/>
  <c r="H39" i="80"/>
  <c r="G39" i="80"/>
  <c r="F39" i="80"/>
  <c r="E39" i="80"/>
  <c r="D39" i="80"/>
  <c r="H38" i="80"/>
  <c r="G38" i="80"/>
  <c r="F38" i="80"/>
  <c r="E38" i="80"/>
  <c r="D38" i="80"/>
  <c r="H37" i="80"/>
  <c r="G37" i="80"/>
  <c r="F37" i="80"/>
  <c r="E37" i="80"/>
  <c r="D37" i="80"/>
  <c r="H36" i="80"/>
  <c r="G36" i="80"/>
  <c r="F36" i="80"/>
  <c r="E36" i="80"/>
  <c r="D36" i="80"/>
  <c r="H35" i="80"/>
  <c r="G35" i="80"/>
  <c r="F35" i="80"/>
  <c r="E35" i="80"/>
  <c r="D35" i="80"/>
  <c r="H33" i="80"/>
  <c r="G33" i="80"/>
  <c r="F33" i="80"/>
  <c r="E33" i="80"/>
  <c r="D33" i="80"/>
  <c r="H32" i="80"/>
  <c r="G32" i="80"/>
  <c r="F32" i="80"/>
  <c r="E32" i="80"/>
  <c r="D32" i="80"/>
  <c r="H31" i="80"/>
  <c r="G31" i="80"/>
  <c r="F31" i="80"/>
  <c r="E31" i="80"/>
  <c r="D31" i="80"/>
  <c r="H30" i="80"/>
  <c r="G30" i="80"/>
  <c r="F30" i="80"/>
  <c r="E30" i="80"/>
  <c r="D30" i="80"/>
  <c r="H29" i="80"/>
  <c r="G29" i="80"/>
  <c r="F29" i="80"/>
  <c r="E29" i="80"/>
  <c r="D29" i="80"/>
  <c r="H28" i="80"/>
  <c r="G28" i="80"/>
  <c r="F28" i="80"/>
  <c r="E28" i="80"/>
  <c r="D28" i="80"/>
  <c r="H27" i="80"/>
  <c r="G27" i="80"/>
  <c r="F27" i="80"/>
  <c r="E27" i="80"/>
  <c r="D27" i="80"/>
  <c r="H26" i="80"/>
  <c r="G26" i="80"/>
  <c r="F26" i="80"/>
  <c r="E26" i="80"/>
  <c r="D26" i="80"/>
  <c r="H25" i="80"/>
  <c r="G25" i="80"/>
  <c r="F25" i="80"/>
  <c r="E25" i="80"/>
  <c r="D25" i="80"/>
  <c r="H24" i="80"/>
  <c r="G24" i="80"/>
  <c r="F24" i="80"/>
  <c r="E24" i="80"/>
  <c r="D24" i="80"/>
  <c r="H23" i="80"/>
  <c r="G23" i="80"/>
  <c r="F23" i="80"/>
  <c r="E23" i="80"/>
  <c r="D23" i="80"/>
  <c r="H22" i="80"/>
  <c r="G22" i="80"/>
  <c r="F22" i="80"/>
  <c r="E22" i="80"/>
  <c r="D22" i="80"/>
  <c r="H21" i="80"/>
  <c r="G21" i="80"/>
  <c r="F21" i="80"/>
  <c r="E21" i="80"/>
  <c r="D21" i="80"/>
  <c r="H20" i="80"/>
  <c r="G20" i="80"/>
  <c r="F20" i="80"/>
  <c r="E20" i="80"/>
  <c r="D20" i="80"/>
  <c r="H19" i="80"/>
  <c r="G19" i="80"/>
  <c r="F19" i="80"/>
  <c r="E19" i="80"/>
  <c r="D19" i="80"/>
  <c r="H18" i="80"/>
  <c r="G18" i="80"/>
  <c r="F18" i="80"/>
  <c r="E18" i="80"/>
  <c r="D18" i="80"/>
  <c r="H17" i="80"/>
  <c r="G17" i="80"/>
  <c r="F17" i="80"/>
  <c r="E17" i="80"/>
  <c r="D17" i="80"/>
  <c r="H16" i="80"/>
  <c r="G16" i="80"/>
  <c r="F16" i="80"/>
  <c r="E16" i="80"/>
  <c r="D16" i="80"/>
  <c r="H15" i="80"/>
  <c r="G15" i="80"/>
  <c r="F15" i="80"/>
  <c r="E15" i="80"/>
  <c r="D15" i="80"/>
  <c r="H14" i="80"/>
  <c r="G14" i="80"/>
  <c r="F14" i="80"/>
  <c r="E14" i="80"/>
  <c r="D14" i="80"/>
  <c r="H13" i="80"/>
  <c r="G13" i="80"/>
  <c r="F13" i="80"/>
  <c r="E13" i="80"/>
  <c r="D13" i="80"/>
  <c r="H12" i="80"/>
  <c r="G12" i="80"/>
  <c r="F12" i="80"/>
  <c r="E12" i="80"/>
  <c r="D12" i="80"/>
  <c r="H11" i="80"/>
  <c r="G11" i="80"/>
  <c r="F11" i="80"/>
  <c r="E11" i="80"/>
  <c r="D11" i="80"/>
  <c r="H10" i="80"/>
  <c r="G10" i="80"/>
  <c r="F10" i="80"/>
  <c r="E10" i="80"/>
  <c r="D10" i="80"/>
  <c r="H9" i="80"/>
  <c r="G9" i="80"/>
  <c r="F9" i="80"/>
  <c r="E9" i="80"/>
  <c r="D9" i="80"/>
  <c r="H8" i="80"/>
  <c r="G8" i="80"/>
  <c r="F8" i="80"/>
  <c r="E8" i="80"/>
  <c r="D8" i="80"/>
  <c r="H7" i="80"/>
  <c r="G7" i="80"/>
  <c r="F7" i="80"/>
  <c r="E7" i="80"/>
  <c r="D7" i="80"/>
  <c r="C50" i="79"/>
  <c r="C12" i="75" s="1"/>
  <c r="H48" i="79"/>
  <c r="G48" i="79"/>
  <c r="F48" i="79"/>
  <c r="E48" i="79"/>
  <c r="D48" i="79"/>
  <c r="H46" i="79"/>
  <c r="G46" i="79"/>
  <c r="F46" i="79"/>
  <c r="E46" i="79"/>
  <c r="D46" i="79"/>
  <c r="H45" i="79"/>
  <c r="G45" i="79"/>
  <c r="F45" i="79"/>
  <c r="E45" i="79"/>
  <c r="D45" i="79"/>
  <c r="H44" i="79"/>
  <c r="G44" i="79"/>
  <c r="F44" i="79"/>
  <c r="E44" i="79"/>
  <c r="D44" i="79"/>
  <c r="H43" i="79"/>
  <c r="G43" i="79"/>
  <c r="F43" i="79"/>
  <c r="E43" i="79"/>
  <c r="D43" i="79"/>
  <c r="H42" i="79"/>
  <c r="G42" i="79"/>
  <c r="F42" i="79"/>
  <c r="E42" i="79"/>
  <c r="D42" i="79"/>
  <c r="H41" i="79"/>
  <c r="G41" i="79"/>
  <c r="F41" i="79"/>
  <c r="E41" i="79"/>
  <c r="D41" i="79"/>
  <c r="H40" i="79"/>
  <c r="G40" i="79"/>
  <c r="F40" i="79"/>
  <c r="E40" i="79"/>
  <c r="D40" i="79"/>
  <c r="H39" i="79"/>
  <c r="G39" i="79"/>
  <c r="F39" i="79"/>
  <c r="E39" i="79"/>
  <c r="D39" i="79"/>
  <c r="H38" i="79"/>
  <c r="G38" i="79"/>
  <c r="F38" i="79"/>
  <c r="E38" i="79"/>
  <c r="D38" i="79"/>
  <c r="H37" i="79"/>
  <c r="G37" i="79"/>
  <c r="F37" i="79"/>
  <c r="E37" i="79"/>
  <c r="D37" i="79"/>
  <c r="H36" i="79"/>
  <c r="G36" i="79"/>
  <c r="F36" i="79"/>
  <c r="E36" i="79"/>
  <c r="D36" i="79"/>
  <c r="H35" i="79"/>
  <c r="G35" i="79"/>
  <c r="F35" i="79"/>
  <c r="E35" i="79"/>
  <c r="D35" i="79"/>
  <c r="H34" i="79"/>
  <c r="G34" i="79"/>
  <c r="F34" i="79"/>
  <c r="E34" i="79"/>
  <c r="D34" i="79"/>
  <c r="H33" i="79"/>
  <c r="G33" i="79"/>
  <c r="F33" i="79"/>
  <c r="E33" i="79"/>
  <c r="D33" i="79"/>
  <c r="H32" i="79"/>
  <c r="G32" i="79"/>
  <c r="F32" i="79"/>
  <c r="E32" i="79"/>
  <c r="D32" i="79"/>
  <c r="H31" i="79"/>
  <c r="G31" i="79"/>
  <c r="F31" i="79"/>
  <c r="E31" i="79"/>
  <c r="D31" i="79"/>
  <c r="H30" i="79"/>
  <c r="G30" i="79"/>
  <c r="F30" i="79"/>
  <c r="E30" i="79"/>
  <c r="D30" i="79"/>
  <c r="H29" i="79"/>
  <c r="G29" i="79"/>
  <c r="F29" i="79"/>
  <c r="E29" i="79"/>
  <c r="D29" i="79"/>
  <c r="H28" i="79"/>
  <c r="G28" i="79"/>
  <c r="F28" i="79"/>
  <c r="E28" i="79"/>
  <c r="D28" i="79"/>
  <c r="H27" i="79"/>
  <c r="G27" i="79"/>
  <c r="F27" i="79"/>
  <c r="E27" i="79"/>
  <c r="D27" i="79"/>
  <c r="H26" i="79"/>
  <c r="G26" i="79"/>
  <c r="F26" i="79"/>
  <c r="E26" i="79"/>
  <c r="D26" i="79"/>
  <c r="H25" i="79"/>
  <c r="G25" i="79"/>
  <c r="F25" i="79"/>
  <c r="E25" i="79"/>
  <c r="D25" i="79"/>
  <c r="H24" i="79"/>
  <c r="G24" i="79"/>
  <c r="F24" i="79"/>
  <c r="E24" i="79"/>
  <c r="D24" i="79"/>
  <c r="H23" i="79"/>
  <c r="G23" i="79"/>
  <c r="F23" i="79"/>
  <c r="E23" i="79"/>
  <c r="D23" i="79"/>
  <c r="H22" i="79"/>
  <c r="G22" i="79"/>
  <c r="F22" i="79"/>
  <c r="E22" i="79"/>
  <c r="D22" i="79"/>
  <c r="H21" i="79"/>
  <c r="G21" i="79"/>
  <c r="F21" i="79"/>
  <c r="E21" i="79"/>
  <c r="D21" i="79"/>
  <c r="H20" i="79"/>
  <c r="G20" i="79"/>
  <c r="F20" i="79"/>
  <c r="E20" i="79"/>
  <c r="D20" i="79"/>
  <c r="H19" i="79"/>
  <c r="G19" i="79"/>
  <c r="F19" i="79"/>
  <c r="E19" i="79"/>
  <c r="D19" i="79"/>
  <c r="H18" i="79"/>
  <c r="G18" i="79"/>
  <c r="F18" i="79"/>
  <c r="E18" i="79"/>
  <c r="D18" i="79"/>
  <c r="H17" i="79"/>
  <c r="G17" i="79"/>
  <c r="F17" i="79"/>
  <c r="E17" i="79"/>
  <c r="D17" i="79"/>
  <c r="H16" i="79"/>
  <c r="G16" i="79"/>
  <c r="F16" i="79"/>
  <c r="E16" i="79"/>
  <c r="D16" i="79"/>
  <c r="H15" i="79"/>
  <c r="G15" i="79"/>
  <c r="F15" i="79"/>
  <c r="E15" i="79"/>
  <c r="D15" i="79"/>
  <c r="H14" i="79"/>
  <c r="G14" i="79"/>
  <c r="F14" i="79"/>
  <c r="E14" i="79"/>
  <c r="D14" i="79"/>
  <c r="H13" i="79"/>
  <c r="G13" i="79"/>
  <c r="F13" i="79"/>
  <c r="E13" i="79"/>
  <c r="D13" i="79"/>
  <c r="H12" i="79"/>
  <c r="G12" i="79"/>
  <c r="F12" i="79"/>
  <c r="E12" i="79"/>
  <c r="D12" i="79"/>
  <c r="H11" i="79"/>
  <c r="G11" i="79"/>
  <c r="F11" i="79"/>
  <c r="E11" i="79"/>
  <c r="D11" i="79"/>
  <c r="H10" i="79"/>
  <c r="G10" i="79"/>
  <c r="F10" i="79"/>
  <c r="E10" i="79"/>
  <c r="D10" i="79"/>
  <c r="H9" i="79"/>
  <c r="G9" i="79"/>
  <c r="F9" i="79"/>
  <c r="E9" i="79"/>
  <c r="D9" i="79"/>
  <c r="H8" i="79"/>
  <c r="G8" i="79"/>
  <c r="F8" i="79"/>
  <c r="E8" i="79"/>
  <c r="D8" i="79"/>
  <c r="H7" i="79"/>
  <c r="G7" i="79"/>
  <c r="F7" i="79"/>
  <c r="E7" i="79"/>
  <c r="D7" i="79"/>
  <c r="F51" i="81" l="1"/>
  <c r="D51" i="81"/>
  <c r="G12" i="75"/>
  <c r="H12" i="75"/>
  <c r="F50" i="79"/>
  <c r="E51" i="81"/>
  <c r="H51" i="81"/>
  <c r="H51" i="80"/>
  <c r="G13" i="75"/>
  <c r="D51" i="80"/>
  <c r="E51" i="80"/>
  <c r="D50" i="79"/>
  <c r="G50" i="79"/>
  <c r="H50" i="79"/>
  <c r="E50" i="79"/>
  <c r="G51" i="81"/>
  <c r="E22" i="75" l="1"/>
  <c r="D47" i="73"/>
  <c r="E47" i="73"/>
  <c r="F47" i="73"/>
  <c r="G47" i="73"/>
  <c r="H47" i="73"/>
  <c r="F7" i="73" l="1"/>
  <c r="D13" i="75" l="1"/>
  <c r="E12" i="75"/>
  <c r="E13" i="75"/>
  <c r="D12" i="75"/>
  <c r="F12" i="75" l="1"/>
  <c r="F13" i="75"/>
  <c r="H46" i="73" l="1"/>
  <c r="G46" i="73"/>
  <c r="F46" i="73"/>
  <c r="E46" i="73"/>
  <c r="D46" i="73"/>
  <c r="H45" i="73"/>
  <c r="G45" i="73"/>
  <c r="F45" i="73"/>
  <c r="E45" i="73"/>
  <c r="D45" i="73"/>
  <c r="H44" i="73"/>
  <c r="G44" i="73"/>
  <c r="F44" i="73"/>
  <c r="E44" i="73"/>
  <c r="D44" i="73"/>
  <c r="H43" i="73"/>
  <c r="G43" i="73"/>
  <c r="F43" i="73"/>
  <c r="E43" i="73"/>
  <c r="D43" i="73"/>
  <c r="H42" i="73"/>
  <c r="G42" i="73"/>
  <c r="F42" i="73"/>
  <c r="E42" i="73"/>
  <c r="D42" i="73"/>
  <c r="H41" i="73"/>
  <c r="G41" i="73"/>
  <c r="F41" i="73"/>
  <c r="E41" i="73"/>
  <c r="D41" i="73"/>
  <c r="H40" i="73"/>
  <c r="G40" i="73"/>
  <c r="F40" i="73"/>
  <c r="E40" i="73"/>
  <c r="D40" i="73"/>
  <c r="H39" i="73"/>
  <c r="G39" i="73"/>
  <c r="F39" i="73"/>
  <c r="E39" i="73"/>
  <c r="D39" i="73"/>
  <c r="H38" i="73"/>
  <c r="G38" i="73"/>
  <c r="F38" i="73"/>
  <c r="E38" i="73"/>
  <c r="D38" i="73"/>
  <c r="H37" i="73"/>
  <c r="G37" i="73"/>
  <c r="F37" i="73"/>
  <c r="E37" i="73"/>
  <c r="D37" i="73"/>
  <c r="H36" i="73"/>
  <c r="G36" i="73"/>
  <c r="F36" i="73"/>
  <c r="E36" i="73"/>
  <c r="D36" i="73"/>
  <c r="H35" i="73"/>
  <c r="G35" i="73"/>
  <c r="F35" i="73"/>
  <c r="E35" i="73"/>
  <c r="D35" i="73"/>
  <c r="H34" i="73"/>
  <c r="G34" i="73"/>
  <c r="F34" i="73"/>
  <c r="E34" i="73"/>
  <c r="D34" i="73"/>
  <c r="H33" i="73"/>
  <c r="G33" i="73"/>
  <c r="F33" i="73"/>
  <c r="E33" i="73"/>
  <c r="D33" i="73"/>
  <c r="H32" i="73"/>
  <c r="G32" i="73"/>
  <c r="F32" i="73"/>
  <c r="E32" i="73"/>
  <c r="D32" i="73"/>
  <c r="H31" i="73"/>
  <c r="G31" i="73"/>
  <c r="F31" i="73"/>
  <c r="E31" i="73"/>
  <c r="D31" i="73"/>
  <c r="H30" i="73"/>
  <c r="G30" i="73"/>
  <c r="F30" i="73"/>
  <c r="E30" i="73"/>
  <c r="D30" i="73"/>
  <c r="H29" i="73"/>
  <c r="G29" i="73"/>
  <c r="F29" i="73"/>
  <c r="E29" i="73"/>
  <c r="D29" i="73"/>
  <c r="H28" i="73"/>
  <c r="G28" i="73"/>
  <c r="F28" i="73"/>
  <c r="E28" i="73"/>
  <c r="D28" i="73"/>
  <c r="H27" i="73"/>
  <c r="G27" i="73"/>
  <c r="F27" i="73"/>
  <c r="E27" i="73"/>
  <c r="D27" i="73"/>
  <c r="H26" i="73"/>
  <c r="G26" i="73"/>
  <c r="F26" i="73"/>
  <c r="E26" i="73"/>
  <c r="D26" i="73"/>
  <c r="H25" i="73"/>
  <c r="G25" i="73"/>
  <c r="F25" i="73"/>
  <c r="E25" i="73"/>
  <c r="D25" i="73"/>
  <c r="H24" i="73"/>
  <c r="G24" i="73"/>
  <c r="F24" i="73"/>
  <c r="E24" i="73"/>
  <c r="D24" i="73"/>
  <c r="H23" i="73"/>
  <c r="G23" i="73"/>
  <c r="F23" i="73"/>
  <c r="E23" i="73"/>
  <c r="D23" i="73"/>
  <c r="H22" i="73"/>
  <c r="G22" i="73"/>
  <c r="F22" i="73"/>
  <c r="E22" i="73"/>
  <c r="D22" i="73"/>
  <c r="H21" i="73"/>
  <c r="G21" i="73"/>
  <c r="F21" i="73"/>
  <c r="E21" i="73"/>
  <c r="D21" i="73"/>
  <c r="H20" i="73"/>
  <c r="G20" i="73"/>
  <c r="F20" i="73"/>
  <c r="E20" i="73"/>
  <c r="D20" i="73"/>
  <c r="H19" i="73"/>
  <c r="G19" i="73"/>
  <c r="F19" i="73"/>
  <c r="E19" i="73"/>
  <c r="D19" i="73"/>
  <c r="H18" i="73"/>
  <c r="G18" i="73"/>
  <c r="F18" i="73"/>
  <c r="E18" i="73"/>
  <c r="D18" i="73"/>
  <c r="H17" i="73"/>
  <c r="G17" i="73"/>
  <c r="F17" i="73"/>
  <c r="E17" i="73"/>
  <c r="H16" i="73"/>
  <c r="G16" i="73"/>
  <c r="F16" i="73"/>
  <c r="E16" i="73"/>
  <c r="D16" i="73"/>
  <c r="H15" i="73"/>
  <c r="G15" i="73"/>
  <c r="F15" i="73"/>
  <c r="E15" i="73"/>
  <c r="D15" i="73"/>
  <c r="H14" i="73"/>
  <c r="G14" i="73"/>
  <c r="F14" i="73"/>
  <c r="E14" i="73"/>
  <c r="D14" i="73"/>
  <c r="H13" i="73"/>
  <c r="G13" i="73"/>
  <c r="F13" i="73"/>
  <c r="E13" i="73"/>
  <c r="D13" i="73"/>
  <c r="H12" i="73"/>
  <c r="G12" i="73"/>
  <c r="F12" i="73"/>
  <c r="E12" i="73"/>
  <c r="D12" i="73"/>
  <c r="H11" i="73"/>
  <c r="G11" i="73"/>
  <c r="F11" i="73"/>
  <c r="E11" i="73"/>
  <c r="D11" i="73"/>
  <c r="H10" i="73"/>
  <c r="G10" i="73"/>
  <c r="F10" i="73"/>
  <c r="E10" i="73"/>
  <c r="D10" i="73"/>
  <c r="H9" i="73"/>
  <c r="G9" i="73"/>
  <c r="F9" i="73"/>
  <c r="E9" i="73"/>
  <c r="D9" i="73"/>
  <c r="H8" i="73"/>
  <c r="G8" i="73"/>
  <c r="F8" i="73"/>
  <c r="E8" i="73"/>
  <c r="D8" i="73"/>
  <c r="H7" i="73"/>
  <c r="G7" i="73"/>
  <c r="E7" i="73"/>
  <c r="D7" i="73"/>
  <c r="D50" i="73" s="1"/>
  <c r="F50" i="73" l="1"/>
  <c r="E50" i="73"/>
  <c r="G11" i="75"/>
  <c r="G20" i="75" s="1"/>
  <c r="E11" i="75"/>
  <c r="E20" i="75" s="1"/>
  <c r="D11" i="75"/>
  <c r="H11" i="75"/>
  <c r="H20" i="75" s="1"/>
  <c r="C20" i="75"/>
  <c r="G50" i="73"/>
  <c r="H50" i="73"/>
  <c r="C57" i="71"/>
  <c r="F11" i="75" l="1"/>
  <c r="F20" i="75" s="1"/>
  <c r="D20" i="75"/>
  <c r="C47" i="56" l="1"/>
  <c r="D14" i="54" l="1"/>
  <c r="C25" i="40" l="1"/>
</calcChain>
</file>

<file path=xl/sharedStrings.xml><?xml version="1.0" encoding="utf-8"?>
<sst xmlns="http://schemas.openxmlformats.org/spreadsheetml/2006/main" count="824" uniqueCount="161">
  <si>
    <t>Hung Phat Co., Ltd</t>
  </si>
  <si>
    <t>STT</t>
  </si>
  <si>
    <t>Họ &amp; tên</t>
  </si>
  <si>
    <t>Mức lương đóng</t>
  </si>
  <si>
    <t>Trích đóng 2%</t>
  </si>
  <si>
    <t>Tổng cộng</t>
  </si>
  <si>
    <t>Ngoâ Thị Bích Ngọc</t>
  </si>
  <si>
    <t>Ngoâ Tieán Ñaït</t>
  </si>
  <si>
    <t>Nguyễn Thị Ngọc Trinh</t>
  </si>
  <si>
    <t>Tổng</t>
  </si>
  <si>
    <t>Người lập</t>
  </si>
  <si>
    <t>Ngô Thị Bích Ngọc</t>
  </si>
  <si>
    <t>Nguyeãn Thò Thuùy Haèng</t>
  </si>
  <si>
    <t>Công đoàn Cty giữ 75%</t>
  </si>
  <si>
    <t>Liên đoàn VN giữ 25%</t>
  </si>
  <si>
    <t>Số Lao Động</t>
  </si>
  <si>
    <t>Quỹ lương làm căn cứ nộp BHXH</t>
  </si>
  <si>
    <t xml:space="preserve">Nộp 2% Kinh Phí Công Đoàn </t>
  </si>
  <si>
    <t>TỔNG CỘNG</t>
  </si>
  <si>
    <t>BẢNG TÍNH KINH PHÍ, ĐOÀN PHÍ CÔNG ĐOÀN</t>
  </si>
  <si>
    <t>CÔNG TY TNHH THIẾT KẾ XÂY DỰNG VÀ THƯƠNG MẠI HƯNG PHÁT</t>
  </si>
  <si>
    <t>Địa Chỉ: 153G Lũy Bán Bích, Phường Tân Thới Hòa, Quận Tân Phú, TP Hồ Chí Minh</t>
  </si>
  <si>
    <t>Mã Số Thuế: 0309178743</t>
  </si>
  <si>
    <t>Tháng/ Năm Phát Sinh</t>
  </si>
  <si>
    <t>(1)</t>
  </si>
  <si>
    <t>(2)</t>
  </si>
  <si>
    <t>(3)</t>
  </si>
  <si>
    <t>(4)=(3) x 2%</t>
  </si>
  <si>
    <t>Leâ Vaên Ñieàn</t>
  </si>
  <si>
    <t>CĐCS: Công Ty TNHH TK XD &amp; TM Hưng Phát</t>
  </si>
  <si>
    <t>Mức thưởng</t>
  </si>
  <si>
    <t>Ký nhận</t>
  </si>
  <si>
    <t>TM Ban Chấp Hành</t>
  </si>
  <si>
    <t>Chủ tịch</t>
  </si>
  <si>
    <t>Nguyễn Thị Thúy Hằng</t>
  </si>
  <si>
    <t>Công đoàn Cty giữ 70%</t>
  </si>
  <si>
    <t>Liên đoàn QTP giữ 30%</t>
  </si>
  <si>
    <t>Danh Sách Mừmg Tết Trung Thu Con Đoàn Viên</t>
  </si>
  <si>
    <t>Họ Và Tên Đoàn Viên</t>
  </si>
  <si>
    <t>Họ Và Tên Con Đoàn Viên</t>
  </si>
  <si>
    <t>Số Tiền</t>
  </si>
  <si>
    <t>Ký Nhận</t>
  </si>
  <si>
    <t>Nguyễn Quốc Đạt</t>
  </si>
  <si>
    <t>Ngoâ Vuõ Quyønh Lam</t>
  </si>
  <si>
    <t>Leâ Nguyễn Khắc Triệu</t>
  </si>
  <si>
    <t>Ngoâ Höõu Khoa</t>
  </si>
  <si>
    <t>Nguyễn Ngọc An Vy</t>
  </si>
  <si>
    <t>Nguyễn Tuấn Khải</t>
  </si>
  <si>
    <t>Leâê Nguyễn Hải Triều</t>
  </si>
  <si>
    <t>Caùt Anh</t>
  </si>
  <si>
    <t>Quận Tân Phú, Ngày 13 tháng 09 năm 2024</t>
  </si>
  <si>
    <t>Nguyễn Thị Cẩm Ly</t>
  </si>
  <si>
    <t>Trần Minh Thắng</t>
  </si>
  <si>
    <t>Lê Hoàng Sỹ</t>
  </si>
  <si>
    <t>Dương Hồng Loan</t>
  </si>
  <si>
    <t>Lê Chí Thân</t>
  </si>
  <si>
    <t>Nguyễn Văn Hây</t>
  </si>
  <si>
    <t>Võ Huy Phong</t>
  </si>
  <si>
    <t>Nguyễn Bá Thành</t>
  </si>
  <si>
    <t>Vòng Và Tuấn</t>
  </si>
  <si>
    <t>Nguyễn Nguyên Hùng</t>
  </si>
  <si>
    <t>Trần Thị Ngọc Dung</t>
  </si>
  <si>
    <t>Liên San</t>
  </si>
  <si>
    <t>Thái Trung Dũng</t>
  </si>
  <si>
    <t>Cao Đình Dương</t>
  </si>
  <si>
    <t>Trần Văn Hiếu</t>
  </si>
  <si>
    <t>Nguyễn Thị Nhung</t>
  </si>
  <si>
    <t>Võ Thị Mộng Thúy</t>
  </si>
  <si>
    <t>Lê Văn Điền</t>
  </si>
  <si>
    <t>Ngô Thị Bích Ngọc</t>
  </si>
  <si>
    <t>Ngô Tiến Đạt</t>
  </si>
  <si>
    <t>Tô Thị Ngọc Yến</t>
  </si>
  <si>
    <t>Nguyễn Kiên Hải</t>
  </si>
  <si>
    <t>Trần Thuận Châu</t>
  </si>
  <si>
    <t>Phạm Tuấn Anh</t>
  </si>
  <si>
    <t>Nguyễn Bá Quân</t>
  </si>
  <si>
    <t>Lê Thị Thu Thảo</t>
  </si>
  <si>
    <t>Sử Ngọc Quế</t>
  </si>
  <si>
    <t>Ngô Thị Tuyết</t>
  </si>
  <si>
    <t>Nguyễn Chí Cường</t>
  </si>
  <si>
    <t>Nguyễn Quốc Cảnh</t>
  </si>
  <si>
    <t xml:space="preserve">Bùi Xuân Mai Thảo </t>
  </si>
  <si>
    <t>Huỳnh Thế Sơn</t>
  </si>
  <si>
    <t>Nguyễn Thị Kỳ Duyên</t>
  </si>
  <si>
    <t>Nguyễn Thị Mai Thi</t>
  </si>
  <si>
    <t>Nông Hoàng Phát</t>
  </si>
  <si>
    <t>Lê Thị Nhã Mi</t>
  </si>
  <si>
    <t>Phạm Anh Minh</t>
  </si>
  <si>
    <t>Nguyễn Đức Đạt</t>
  </si>
  <si>
    <t>Võ Thành Hưng</t>
  </si>
  <si>
    <t>Võ Thanh Lam</t>
  </si>
  <si>
    <t>Huỳnh Pan Anh Trọng</t>
  </si>
  <si>
    <t>Hồ Gia Thanh</t>
  </si>
  <si>
    <t>Nguyễn Thanh Phong</t>
  </si>
  <si>
    <t>Trần Hải Đăng</t>
  </si>
  <si>
    <t>Hứa Duy Anh Khoa</t>
  </si>
  <si>
    <t xml:space="preserve">Nguyễn Truyện </t>
  </si>
  <si>
    <t>Nguyễn Trường Vũ</t>
  </si>
  <si>
    <t>Nguyễn Thị Cẩm Ly</t>
  </si>
  <si>
    <t xml:space="preserve">Ngô Thị Bích Ngọc </t>
  </si>
  <si>
    <t>Danh Sách thưởng Lễ Tết Dương Lịch 2025</t>
  </si>
  <si>
    <t>Quận Tân Phú, Ngày31 tháng 12 năm 2024</t>
  </si>
  <si>
    <t>Danh Sách thưởng Lễ 20/10/2025</t>
  </si>
  <si>
    <t>Quận Tân Phú, Ngày 03 tháng 02 năm 2025</t>
  </si>
  <si>
    <t>Danh Sách thưởng lễ 30/04 và 01/05/2025</t>
  </si>
  <si>
    <t>Quận Tân Phú, Ngày 29 tháng 04 năm 2025</t>
  </si>
  <si>
    <t>Lâm Nhật Quang</t>
  </si>
  <si>
    <t>Theo quyết định số 61/QĐ-TLĐ ngày 29/07/2025</t>
  </si>
  <si>
    <t>Thay đổi mức đóng đoàn phí hằng tháng là 0.5%</t>
  </si>
  <si>
    <t>Trích đóng 0.5% đoàn phí công đoàn</t>
  </si>
  <si>
    <t>bắt đầu có hiệu lực từ ngày 01/07/2025</t>
  </si>
  <si>
    <t>Danh Sách thưởng lễ 02/09/2025</t>
  </si>
  <si>
    <t>Quận Tân Phú, Ngày 23 tháng 09 năm 2025</t>
  </si>
  <si>
    <t>Quận Tân Phú, Ngày 20 tháng 10 năm 2025</t>
  </si>
  <si>
    <t>bắt đầu từ tháng 10 bỏ 9 mã số (2301, 2302, 2303, 2305, 2307, 2308, 2313, 2315, 2316)</t>
  </si>
  <si>
    <t xml:space="preserve">V105 nghỉ thai sản </t>
  </si>
  <si>
    <t xml:space="preserve">Nghỉ thai sản </t>
  </si>
  <si>
    <t>Nguyễn Luân Anh Vũ</t>
  </si>
  <si>
    <t>Thêm 1518</t>
  </si>
  <si>
    <t>Nhận 75% KPCĐ trên 2% đã nộp</t>
  </si>
  <si>
    <t xml:space="preserve">Thực đóng </t>
  </si>
  <si>
    <t>(5)=(4) x 75%</t>
  </si>
  <si>
    <t>(6)=(4) - (5)</t>
  </si>
  <si>
    <t>(7)=(3) x 0.5% x 30%</t>
  </si>
  <si>
    <t>(7)=(3) x 0.5% x 70%</t>
  </si>
  <si>
    <t>Công đoàn Cty giữ 70% Đoàn phí</t>
  </si>
  <si>
    <t>Lê Thị Hiếu Thư</t>
  </si>
  <si>
    <t>Danh Sách thưởng Tết âm lịch năm 2026</t>
  </si>
  <si>
    <t>Danh Sách Trích Nộp Phí Công Đoàn Tháng 01/2026</t>
  </si>
  <si>
    <t>Ngày 01 tháng 01 năm 2026</t>
  </si>
  <si>
    <t>Tháng 1/2026</t>
  </si>
  <si>
    <t>Tháng 2/2026</t>
  </si>
  <si>
    <t>Tháng 3/2026</t>
  </si>
  <si>
    <t>Ngày 01 tháng 02 năm 2026</t>
  </si>
  <si>
    <t>Danh Sách Trích Nộp Phí Công Đoàn Tháng 02/2026</t>
  </si>
  <si>
    <t>Danh Sách Trích Nộp Phí Công Đoàn Tháng 03/2026</t>
  </si>
  <si>
    <t>Ngày 01 tháng 03 năm 2026</t>
  </si>
  <si>
    <t>Danh Sách Trích Nộp Phí Công Đoàn Quý 01 năm 2026</t>
  </si>
  <si>
    <t xml:space="preserve">Lê Thị Thu Thảo </t>
  </si>
  <si>
    <t>Bùi Thị Kim Chi</t>
  </si>
  <si>
    <t xml:space="preserve">Bùi Thị Kim Chi </t>
  </si>
  <si>
    <t>X</t>
  </si>
  <si>
    <t>Noted</t>
  </si>
  <si>
    <t>Ngô Thị Ngọc Dung</t>
  </si>
  <si>
    <t>x</t>
  </si>
  <si>
    <t xml:space="preserve">Trần Thiên Vương </t>
  </si>
  <si>
    <t xml:space="preserve">Nghỉ không lương </t>
  </si>
  <si>
    <t>Tháng 4/2026</t>
  </si>
  <si>
    <t>Ngày 01 tháng 04 năm 2026</t>
  </si>
  <si>
    <t>Danh Sách Trích Nộp Phí Công Đoàn Tháng 04/2026</t>
  </si>
  <si>
    <t xml:space="preserve">Nộp 30% của 0.5% Đoàn Phí </t>
  </si>
  <si>
    <t>Danh Sách Trích Nộp Phí Công Đoàn Tháng 05/2026</t>
  </si>
  <si>
    <t xml:space="preserve">Đã đi làm lại </t>
  </si>
  <si>
    <t>Ngày 01 tháng 05 năm 2026</t>
  </si>
  <si>
    <t>Danh Sách Trích Nộp Phí Công Đoàn Tháng 06/2026</t>
  </si>
  <si>
    <t>Ngày 01 tháng 06 năm 2026</t>
  </si>
  <si>
    <t>Tháng 5/2026</t>
  </si>
  <si>
    <t>Tháng 6/2026</t>
  </si>
  <si>
    <t>Danh Sách thưởng Lễ 08/03/2026</t>
  </si>
  <si>
    <t>Quận Tân Phú, Ngày 08 tháng 03 năm 2026</t>
  </si>
  <si>
    <t>Nghỉ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</si>
</sst>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&quot;¥&quot;#,##0.00;[Red]&quot;¥&quot;\-#,##0.00"/>
    <numFmt numFmtId="167" formatCode="&quot;¥&quot;#,##0;[Red]&quot;¥&quot;\-#,##0"/>
    <numFmt numFmtId="168" formatCode="_-* #,##0_-;\-* #,##0_-;_-* &quot;-&quot;??_-;_-@_-"/>
    <numFmt numFmtId="169" formatCode="_(* #,##0.000_);_(* \(#,##0.000\);_(* &quot;-&quot;??_);_(@_)"/>
  </numFmts>
  <fonts count="20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VNI-Times"/>
    </font>
    <font>
      <sz val="10"/>
      <color rgb="FFFF0000"/>
      <name val="Arial"/>
      <family val="2"/>
    </font>
    <font>
      <b/>
      <sz val="11"/>
      <name val="VNI-Times"/>
    </font>
    <font>
      <b/>
      <sz val="10"/>
      <name val="Times New Roman"/>
      <family val="1"/>
    </font>
    <font>
      <sz val="10"/>
      <name val="Helv"/>
      <family val="2"/>
    </font>
    <font>
      <sz val="11"/>
      <name val="ＭＳ Ｐゴシック"/>
      <family val="2"/>
      <charset val="128"/>
    </font>
    <font>
      <b/>
      <sz val="13"/>
      <name val="Times New Roman"/>
      <family val="1"/>
    </font>
    <font>
      <sz val="13"/>
      <name val="Times New Roman"/>
      <family val="1"/>
    </font>
    <font>
      <b/>
      <sz val="12"/>
      <name val="Arial"/>
      <family val="2"/>
    </font>
    <font>
      <b/>
      <sz val="15"/>
      <name val="Arial"/>
      <family val="2"/>
    </font>
    <font>
      <sz val="11"/>
      <name val="ＭＳ Ｐゴシック"/>
      <family val="3"/>
      <charset val="128"/>
    </font>
    <font>
      <sz val="12"/>
      <name val="Times New Roman"/>
      <family val="1"/>
    </font>
    <font>
      <sz val="11"/>
      <color theme="1"/>
      <name val="Calibri"/>
      <family val="3"/>
      <charset val="128"/>
      <scheme val="minor"/>
    </font>
    <font>
      <sz val="11"/>
      <name val="Cambria"/>
      <family val="1"/>
      <scheme val="major"/>
    </font>
    <font>
      <b/>
      <sz val="13"/>
      <color rgb="FFFF0000"/>
      <name val="Times New Roman"/>
      <family val="1"/>
    </font>
    <font>
      <sz val="8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164" fontId="1" fillId="0" borderId="0" applyFont="0" applyFill="0" applyBorder="0" applyAlignment="0" applyProtection="0"/>
  </cellStyleXfs>
  <cellXfs count="95">
    <xf numFmtId="0" fontId="0" fillId="0" borderId="0" xfId="0"/>
    <xf numFmtId="3" fontId="1" fillId="0" borderId="0" xfId="1" applyNumberForma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49" fontId="3" fillId="0" borderId="5" xfId="2" applyNumberFormat="1" applyFont="1" applyBorder="1" applyAlignment="1">
      <alignment horizontal="left"/>
    </xf>
    <xf numFmtId="3" fontId="3" fillId="0" borderId="5" xfId="1" applyNumberFormat="1" applyFont="1" applyBorder="1" applyAlignment="1">
      <alignment horizontal="center"/>
    </xf>
    <xf numFmtId="165" fontId="1" fillId="0" borderId="5" xfId="1" applyNumberFormat="1" applyBorder="1"/>
    <xf numFmtId="0" fontId="0" fillId="0" borderId="5" xfId="0" applyBorder="1" applyAlignment="1">
      <alignment horizontal="center"/>
    </xf>
    <xf numFmtId="0" fontId="4" fillId="0" borderId="0" xfId="0" applyFont="1"/>
    <xf numFmtId="0" fontId="0" fillId="0" borderId="6" xfId="0" applyBorder="1" applyAlignment="1">
      <alignment horizontal="center"/>
    </xf>
    <xf numFmtId="49" fontId="3" fillId="0" borderId="7" xfId="2" applyNumberFormat="1" applyFont="1" applyBorder="1" applyAlignment="1">
      <alignment horizontal="left"/>
    </xf>
    <xf numFmtId="3" fontId="3" fillId="0" borderId="8" xfId="1" applyNumberFormat="1" applyFont="1" applyBorder="1" applyAlignment="1">
      <alignment horizontal="center"/>
    </xf>
    <xf numFmtId="165" fontId="1" fillId="0" borderId="6" xfId="1" applyNumberFormat="1" applyBorder="1"/>
    <xf numFmtId="0" fontId="2" fillId="0" borderId="1" xfId="0" applyFont="1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0" fillId="0" borderId="1" xfId="1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5" fontId="10" fillId="0" borderId="1" xfId="1" applyNumberFormat="1" applyFont="1" applyBorder="1"/>
    <xf numFmtId="165" fontId="9" fillId="0" borderId="1" xfId="0" applyNumberFormat="1" applyFont="1" applyBorder="1"/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/>
    </xf>
    <xf numFmtId="3" fontId="10" fillId="0" borderId="0" xfId="0" applyNumberFormat="1" applyFont="1"/>
    <xf numFmtId="165" fontId="10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/>
    <xf numFmtId="3" fontId="3" fillId="0" borderId="5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6" fillId="0" borderId="0" xfId="0" applyFont="1"/>
    <xf numFmtId="0" fontId="0" fillId="0" borderId="9" xfId="0" applyBorder="1" applyAlignment="1">
      <alignment horizontal="center"/>
    </xf>
    <xf numFmtId="3" fontId="2" fillId="0" borderId="1" xfId="1" applyNumberFormat="1" applyFont="1" applyBorder="1" applyAlignment="1">
      <alignment horizontal="right"/>
    </xf>
    <xf numFmtId="0" fontId="14" fillId="0" borderId="10" xfId="7" applyFont="1" applyBorder="1"/>
    <xf numFmtId="0" fontId="14" fillId="0" borderId="10" xfId="7" applyFont="1" applyBorder="1" applyAlignment="1">
      <alignment horizontal="left"/>
    </xf>
    <xf numFmtId="0" fontId="14" fillId="0" borderId="10" xfId="8" applyFont="1" applyBorder="1" applyAlignment="1">
      <alignment horizontal="left"/>
    </xf>
    <xf numFmtId="0" fontId="14" fillId="0" borderId="10" xfId="9" applyFont="1" applyBorder="1"/>
    <xf numFmtId="0" fontId="14" fillId="0" borderId="11" xfId="9" applyFont="1" applyBorder="1"/>
    <xf numFmtId="0" fontId="14" fillId="0" borderId="12" xfId="7" applyFont="1" applyBorder="1"/>
    <xf numFmtId="3" fontId="3" fillId="0" borderId="9" xfId="1" applyNumberFormat="1" applyFont="1" applyBorder="1" applyAlignment="1">
      <alignment horizontal="center"/>
    </xf>
    <xf numFmtId="165" fontId="1" fillId="0" borderId="9" xfId="1" applyNumberFormat="1" applyBorder="1"/>
    <xf numFmtId="3" fontId="10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5" xfId="2" applyFont="1" applyBorder="1" applyAlignment="1">
      <alignment horizontal="left" vertical="center"/>
    </xf>
    <xf numFmtId="49" fontId="3" fillId="0" borderId="7" xfId="2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5" fillId="0" borderId="1" xfId="2" applyNumberFormat="1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10" fillId="0" borderId="0" xfId="10" applyFont="1"/>
    <xf numFmtId="164" fontId="10" fillId="0" borderId="0" xfId="0" applyNumberFormat="1" applyFont="1"/>
    <xf numFmtId="168" fontId="10" fillId="0" borderId="0" xfId="0" applyNumberFormat="1" applyFont="1"/>
    <xf numFmtId="169" fontId="0" fillId="0" borderId="0" xfId="1" applyNumberFormat="1" applyFont="1"/>
    <xf numFmtId="0" fontId="1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165" fontId="10" fillId="0" borderId="0" xfId="1" applyNumberFormat="1" applyFont="1" applyAlignment="1">
      <alignment vertical="center"/>
    </xf>
    <xf numFmtId="49" fontId="5" fillId="0" borderId="0" xfId="2" applyNumberFormat="1" applyFont="1" applyAlignment="1">
      <alignment horizontal="center"/>
    </xf>
    <xf numFmtId="3" fontId="2" fillId="0" borderId="0" xfId="1" applyNumberFormat="1" applyFont="1" applyBorder="1" applyAlignment="1">
      <alignment horizontal="center"/>
    </xf>
    <xf numFmtId="3" fontId="0" fillId="0" borderId="0" xfId="0" applyNumberFormat="1"/>
    <xf numFmtId="0" fontId="4" fillId="2" borderId="0" xfId="0" applyFont="1" applyFill="1"/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14" xfId="1" applyNumberFormat="1" applyFont="1" applyBorder="1" applyAlignment="1">
      <alignment horizontal="center"/>
    </xf>
    <xf numFmtId="41" fontId="19" fillId="0" borderId="14" xfId="1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11">
    <cellStyle name="Comma" xfId="1" builtinId="3"/>
    <cellStyle name="Comma [0]" xfId="10" builtinId="6"/>
    <cellStyle name="Normal" xfId="0" builtinId="0"/>
    <cellStyle name="Normal 2" xfId="9" xr:uid="{00000000-0005-0000-0000-000003000000}"/>
    <cellStyle name="Normal_102014_Phi cong doan 2014" xfId="2" xr:uid="{00000000-0005-0000-0000-000004000000}"/>
    <cellStyle name="Normal_DIEM DANH 2007" xfId="8" xr:uid="{00000000-0005-0000-0000-000005000000}"/>
    <cellStyle name="Normal_May06" xfId="7" xr:uid="{00000000-0005-0000-0000-000006000000}"/>
    <cellStyle name="Style 1" xfId="3" xr:uid="{00000000-0005-0000-0000-000007000000}"/>
    <cellStyle name="標準_発送明細書" xfId="4" xr:uid="{00000000-0005-0000-0000-000008000000}"/>
    <cellStyle name="通貨 [0.00]_09-2002" xfId="5" xr:uid="{00000000-0005-0000-0000-000009000000}"/>
    <cellStyle name="通貨_09-2002" xfId="6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UONG/Bang%20luong%202018/092018/HP_Payroll_09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UONG\Bang%20luong%202018\092018\HP_Payroll_09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"/>
      <sheetName val="Classification"/>
      <sheetName val="PIVTOT"/>
      <sheetName val="CTGS"/>
      <sheetName val="ACad"/>
      <sheetName val="RG"/>
      <sheetName val="Decision"/>
      <sheetName val="Decision (2)"/>
      <sheetName val="Details"/>
      <sheetName val="Target"/>
      <sheetName val="luong"/>
      <sheetName val="chuyenkhoan"/>
      <sheetName val="chuyenkhoanmb"/>
      <sheetName val="Pay by Cash"/>
    </sheetNames>
    <sheetDataSet>
      <sheetData sheetId="0">
        <row r="10">
          <cell r="B10" t="str">
            <v>MaSo</v>
          </cell>
          <cell r="C10" t="str">
            <v>HoVaTen</v>
          </cell>
          <cell r="D10" t="str">
            <v>% Decrease</v>
          </cell>
          <cell r="E10" t="str">
            <v>BacHV</v>
          </cell>
          <cell r="F10" t="str">
            <v>MaPhanLoai</v>
          </cell>
          <cell r="G10" t="str">
            <v>DM level</v>
          </cell>
          <cell r="H10" t="str">
            <v>Maso</v>
          </cell>
        </row>
        <row r="11">
          <cell r="B11" t="str">
            <v>008</v>
          </cell>
          <cell r="C11" t="str">
            <v>Traàn Minh Thaéng</v>
          </cell>
          <cell r="E11">
            <v>4</v>
          </cell>
          <cell r="H11" t="str">
            <v>008</v>
          </cell>
        </row>
        <row r="12">
          <cell r="B12" t="str">
            <v>014</v>
          </cell>
          <cell r="C12" t="str">
            <v>Ñoã Thò Bích Haïnh</v>
          </cell>
          <cell r="E12">
            <v>5</v>
          </cell>
          <cell r="F12" t="str">
            <v>11A</v>
          </cell>
          <cell r="G12" t="str">
            <v>11A</v>
          </cell>
          <cell r="H12" t="str">
            <v>014</v>
          </cell>
        </row>
        <row r="13">
          <cell r="B13" t="str">
            <v>023</v>
          </cell>
          <cell r="C13" t="str">
            <v>Taêng Duy Taân</v>
          </cell>
          <cell r="E13">
            <v>4</v>
          </cell>
          <cell r="H13" t="str">
            <v>023</v>
          </cell>
        </row>
        <row r="14">
          <cell r="B14" t="str">
            <v>052</v>
          </cell>
          <cell r="C14" t="str">
            <v>Nguyeãn Thò Vaân Anh</v>
          </cell>
          <cell r="E14">
            <v>6</v>
          </cell>
          <cell r="F14" t="str">
            <v>11A</v>
          </cell>
          <cell r="G14" t="str">
            <v>11A</v>
          </cell>
          <cell r="H14" t="str">
            <v>052</v>
          </cell>
        </row>
        <row r="15">
          <cell r="B15" t="str">
            <v>061</v>
          </cell>
          <cell r="C15" t="str">
            <v>Buøi Töôøng Long</v>
          </cell>
          <cell r="E15">
            <v>6</v>
          </cell>
          <cell r="F15" t="str">
            <v>11A</v>
          </cell>
          <cell r="G15" t="str">
            <v>11A</v>
          </cell>
          <cell r="H15" t="str">
            <v>061</v>
          </cell>
        </row>
        <row r="16">
          <cell r="B16" t="str">
            <v>071</v>
          </cell>
          <cell r="C16" t="str">
            <v>Leâ Hoaøng Syõ</v>
          </cell>
          <cell r="E16">
            <v>4</v>
          </cell>
          <cell r="F16" t="str">
            <v>11A</v>
          </cell>
          <cell r="G16" t="str">
            <v>11A</v>
          </cell>
          <cell r="H16" t="str">
            <v>071</v>
          </cell>
        </row>
        <row r="17">
          <cell r="B17" t="str">
            <v>113</v>
          </cell>
          <cell r="C17" t="str">
            <v>Döông Hoàng Loan</v>
          </cell>
          <cell r="E17">
            <v>4</v>
          </cell>
          <cell r="F17" t="str">
            <v>11A</v>
          </cell>
          <cell r="G17" t="str">
            <v>09A</v>
          </cell>
          <cell r="H17" t="str">
            <v>113</v>
          </cell>
        </row>
        <row r="18">
          <cell r="B18" t="str">
            <v>115</v>
          </cell>
          <cell r="C18" t="str">
            <v>Toân Thaát Löïc</v>
          </cell>
          <cell r="E18">
            <v>4</v>
          </cell>
          <cell r="F18" t="str">
            <v>11A</v>
          </cell>
          <cell r="G18" t="str">
            <v>11A</v>
          </cell>
          <cell r="H18" t="str">
            <v>115</v>
          </cell>
        </row>
        <row r="19">
          <cell r="B19" t="str">
            <v>119</v>
          </cell>
          <cell r="C19" t="str">
            <v>Ngoâ Traàn Minh</v>
          </cell>
          <cell r="E19">
            <v>6</v>
          </cell>
          <cell r="F19" t="str">
            <v>11A</v>
          </cell>
          <cell r="G19" t="str">
            <v>11A</v>
          </cell>
          <cell r="H19" t="str">
            <v>119</v>
          </cell>
        </row>
        <row r="20">
          <cell r="B20" t="str">
            <v>134</v>
          </cell>
          <cell r="C20" t="str">
            <v>Hoaøng Vónh Taâm</v>
          </cell>
          <cell r="E20">
            <v>4</v>
          </cell>
          <cell r="F20" t="str">
            <v>11A</v>
          </cell>
          <cell r="G20" t="str">
            <v>11A</v>
          </cell>
          <cell r="H20" t="str">
            <v>134</v>
          </cell>
        </row>
        <row r="21">
          <cell r="B21" t="str">
            <v>139</v>
          </cell>
          <cell r="C21" t="str">
            <v>Laâm Ñình Thieän</v>
          </cell>
          <cell r="E21">
            <v>4</v>
          </cell>
          <cell r="F21" t="str">
            <v>11A</v>
          </cell>
          <cell r="H21" t="str">
            <v>139</v>
          </cell>
        </row>
        <row r="22">
          <cell r="B22" t="str">
            <v>135</v>
          </cell>
          <cell r="C22" t="str">
            <v>Leâ Chí Thaân</v>
          </cell>
          <cell r="E22">
            <v>4</v>
          </cell>
          <cell r="H22" t="str">
            <v>135</v>
          </cell>
        </row>
        <row r="23">
          <cell r="B23" t="str">
            <v>155</v>
          </cell>
          <cell r="C23" t="str">
            <v>Nguyeãn Minh Tuøng</v>
          </cell>
          <cell r="E23">
            <v>4</v>
          </cell>
          <cell r="H23" t="str">
            <v>155</v>
          </cell>
        </row>
        <row r="24">
          <cell r="B24" t="str">
            <v>161</v>
          </cell>
          <cell r="C24" t="str">
            <v>Nguyeãn Vaên Haây</v>
          </cell>
          <cell r="E24">
            <v>4</v>
          </cell>
          <cell r="F24" t="str">
            <v>09A</v>
          </cell>
          <cell r="G24" t="str">
            <v>11B</v>
          </cell>
          <cell r="H24" t="str">
            <v>161</v>
          </cell>
        </row>
        <row r="25">
          <cell r="B25" t="str">
            <v>165</v>
          </cell>
          <cell r="C25" t="str">
            <v>Voõ Huy Phong</v>
          </cell>
          <cell r="E25">
            <v>6</v>
          </cell>
          <cell r="F25" t="str">
            <v>11A</v>
          </cell>
          <cell r="G25" t="str">
            <v>11A</v>
          </cell>
          <cell r="H25" t="str">
            <v>165</v>
          </cell>
        </row>
        <row r="26">
          <cell r="B26" t="str">
            <v>172</v>
          </cell>
          <cell r="C26" t="str">
            <v>Nguyeãn Baù Thaønh</v>
          </cell>
          <cell r="E26">
            <v>5</v>
          </cell>
          <cell r="F26" t="str">
            <v>11A</v>
          </cell>
          <cell r="G26" t="str">
            <v>11A</v>
          </cell>
          <cell r="H26" t="str">
            <v>172</v>
          </cell>
        </row>
        <row r="27">
          <cell r="B27" t="str">
            <v>178</v>
          </cell>
          <cell r="C27" t="str">
            <v>Voøng Vaø Tuaán</v>
          </cell>
          <cell r="E27">
            <v>6</v>
          </cell>
          <cell r="F27" t="str">
            <v>11A</v>
          </cell>
          <cell r="G27" t="str">
            <v>11A</v>
          </cell>
          <cell r="H27" t="str">
            <v>178</v>
          </cell>
        </row>
        <row r="28">
          <cell r="B28" t="str">
            <v>180</v>
          </cell>
          <cell r="C28" t="str">
            <v>Ñaëng Thò Ngoïc Hoàng</v>
          </cell>
          <cell r="E28">
            <v>4</v>
          </cell>
          <cell r="H28" t="str">
            <v>180</v>
          </cell>
        </row>
        <row r="29">
          <cell r="B29" t="str">
            <v>306</v>
          </cell>
          <cell r="C29" t="str">
            <v>Nguyeãn Tieán Ñaït</v>
          </cell>
          <cell r="E29">
            <v>5</v>
          </cell>
          <cell r="F29" t="str">
            <v>11A</v>
          </cell>
          <cell r="G29" t="str">
            <v>07A</v>
          </cell>
          <cell r="H29" t="str">
            <v>306</v>
          </cell>
        </row>
        <row r="30">
          <cell r="B30" t="str">
            <v>307</v>
          </cell>
          <cell r="C30" t="str">
            <v>Nguyeãn Nguyeân Huøng</v>
          </cell>
          <cell r="E30">
            <v>4</v>
          </cell>
          <cell r="F30" t="str">
            <v>09A</v>
          </cell>
          <cell r="G30" t="str">
            <v>07A</v>
          </cell>
          <cell r="H30" t="str">
            <v>307</v>
          </cell>
        </row>
        <row r="31">
          <cell r="B31" t="str">
            <v>309</v>
          </cell>
          <cell r="C31" t="str">
            <v>Traàn Thò Ngoïc Dung</v>
          </cell>
          <cell r="E31">
            <v>4</v>
          </cell>
          <cell r="F31" t="str">
            <v>09B</v>
          </cell>
          <cell r="G31" t="str">
            <v>07B</v>
          </cell>
          <cell r="H31" t="str">
            <v>309</v>
          </cell>
        </row>
        <row r="32">
          <cell r="B32" t="str">
            <v>421</v>
          </cell>
          <cell r="C32" t="str">
            <v>Phạm Tuấn Anh</v>
          </cell>
          <cell r="H32" t="str">
            <v>421</v>
          </cell>
        </row>
        <row r="33">
          <cell r="B33" t="str">
            <v>615</v>
          </cell>
          <cell r="C33" t="str">
            <v>Huyønh Ngoïc Baïch</v>
          </cell>
          <cell r="E33">
            <v>4</v>
          </cell>
          <cell r="G33" t="str">
            <v>05A</v>
          </cell>
          <cell r="H33" t="str">
            <v>615</v>
          </cell>
        </row>
        <row r="34">
          <cell r="B34" t="str">
            <v>473</v>
          </cell>
          <cell r="C34" t="str">
            <v>Nguyeãn Trieäu Ñaït</v>
          </cell>
          <cell r="E34">
            <v>4</v>
          </cell>
          <cell r="H34" t="str">
            <v>473</v>
          </cell>
        </row>
        <row r="35">
          <cell r="B35" t="str">
            <v>869</v>
          </cell>
          <cell r="C35" t="str">
            <v>Cao Vaên Hoaøng</v>
          </cell>
          <cell r="E35">
            <v>4</v>
          </cell>
          <cell r="H35" t="str">
            <v>869</v>
          </cell>
        </row>
        <row r="36">
          <cell r="B36" t="str">
            <v>906</v>
          </cell>
          <cell r="C36" t="str">
            <v>Traàn Thanh Thaûo</v>
          </cell>
          <cell r="E36">
            <v>4</v>
          </cell>
          <cell r="H36" t="str">
            <v>906</v>
          </cell>
        </row>
        <row r="37">
          <cell r="B37" t="str">
            <v>1111</v>
          </cell>
          <cell r="C37" t="str">
            <v>Vuõ Phong Long Quaân</v>
          </cell>
          <cell r="E37">
            <v>1</v>
          </cell>
          <cell r="G37" t="str">
            <v>01C</v>
          </cell>
          <cell r="H37" t="str">
            <v>1111</v>
          </cell>
        </row>
        <row r="38">
          <cell r="B38" t="str">
            <v>1101</v>
          </cell>
          <cell r="C38" t="str">
            <v>Laâm Trung Bình</v>
          </cell>
          <cell r="E38">
            <v>2</v>
          </cell>
          <cell r="F38" t="str">
            <v>07B</v>
          </cell>
          <cell r="H38" t="str">
            <v>1101</v>
          </cell>
        </row>
        <row r="39">
          <cell r="B39" t="str">
            <v>1102</v>
          </cell>
          <cell r="C39" t="str">
            <v>Thaùi Trung Duõng</v>
          </cell>
          <cell r="E39">
            <v>2</v>
          </cell>
          <cell r="H39" t="str">
            <v>1102</v>
          </cell>
        </row>
        <row r="40">
          <cell r="B40" t="str">
            <v>1103</v>
          </cell>
          <cell r="C40" t="str">
            <v>Cao Ñình Döông</v>
          </cell>
          <cell r="E40">
            <v>4</v>
          </cell>
          <cell r="H40" t="str">
            <v>1103</v>
          </cell>
        </row>
        <row r="41">
          <cell r="B41" t="str">
            <v>1105</v>
          </cell>
          <cell r="C41" t="str">
            <v>Traàn Vaên Hieáu</v>
          </cell>
          <cell r="E41">
            <v>2</v>
          </cell>
          <cell r="F41" t="str">
            <v>07B</v>
          </cell>
          <cell r="G41" t="str">
            <v>01C</v>
          </cell>
          <cell r="H41" t="str">
            <v>1105</v>
          </cell>
        </row>
        <row r="42">
          <cell r="B42" t="str">
            <v>1106</v>
          </cell>
          <cell r="C42" t="str">
            <v>Nguyeãn Ñöùc Huy</v>
          </cell>
          <cell r="E42">
            <v>2</v>
          </cell>
          <cell r="F42" t="str">
            <v>07B</v>
          </cell>
          <cell r="G42" t="str">
            <v>01C</v>
          </cell>
          <cell r="H42" t="str">
            <v>1106</v>
          </cell>
        </row>
        <row r="43">
          <cell r="B43" t="str">
            <v>1108</v>
          </cell>
          <cell r="C43" t="str">
            <v>Nguyeãn Thò Nhung</v>
          </cell>
          <cell r="E43">
            <v>2</v>
          </cell>
          <cell r="H43" t="str">
            <v>1108</v>
          </cell>
        </row>
        <row r="44">
          <cell r="B44" t="str">
            <v>1300</v>
          </cell>
          <cell r="C44" t="str">
            <v>Nguyễn Thị Tuyết Nga</v>
          </cell>
          <cell r="E44">
            <v>1</v>
          </cell>
          <cell r="F44" t="str">
            <v>05B</v>
          </cell>
          <cell r="H44" t="str">
            <v>1300</v>
          </cell>
        </row>
        <row r="45">
          <cell r="B45" t="str">
            <v>1302</v>
          </cell>
          <cell r="C45" t="str">
            <v>Voõ Thò Moäng Thuùy</v>
          </cell>
          <cell r="E45">
            <v>2</v>
          </cell>
          <cell r="H45" t="str">
            <v>1302</v>
          </cell>
        </row>
        <row r="46">
          <cell r="B46" t="str">
            <v>1406</v>
          </cell>
          <cell r="C46" t="str">
            <v>Traàn Thieân Vöông</v>
          </cell>
          <cell r="E46">
            <v>2</v>
          </cell>
          <cell r="F46" t="str">
            <v>05B</v>
          </cell>
          <cell r="H46" t="str">
            <v>1406</v>
          </cell>
        </row>
        <row r="47">
          <cell r="B47" t="str">
            <v>1409</v>
          </cell>
          <cell r="C47" t="str">
            <v>Leâ Traàn Vuõ Phöông</v>
          </cell>
          <cell r="E47">
            <v>1</v>
          </cell>
          <cell r="H47" t="str">
            <v>1409</v>
          </cell>
        </row>
        <row r="48">
          <cell r="B48" t="str">
            <v>1505</v>
          </cell>
          <cell r="C48" t="str">
            <v>Traàn Ñöùc Nghò</v>
          </cell>
          <cell r="E48">
            <v>1</v>
          </cell>
          <cell r="H48" t="str">
            <v>1505</v>
          </cell>
        </row>
        <row r="49">
          <cell r="B49" t="str">
            <v>1507</v>
          </cell>
          <cell r="C49" t="str">
            <v>Ñinh Vaên Giang</v>
          </cell>
          <cell r="E49">
            <v>1</v>
          </cell>
          <cell r="H49" t="str">
            <v>1507</v>
          </cell>
        </row>
        <row r="50">
          <cell r="B50" t="str">
            <v>1508</v>
          </cell>
          <cell r="C50" t="str">
            <v>Nguyeãn Vaên Duõng</v>
          </cell>
          <cell r="E50">
            <v>1</v>
          </cell>
          <cell r="H50" t="str">
            <v>1508</v>
          </cell>
        </row>
        <row r="51">
          <cell r="B51" t="str">
            <v>1509</v>
          </cell>
          <cell r="C51" t="str">
            <v>Chaâu Thò Myõ Tuù</v>
          </cell>
          <cell r="E51">
            <v>1</v>
          </cell>
          <cell r="H51" t="str">
            <v>1509</v>
          </cell>
        </row>
        <row r="52">
          <cell r="B52" t="str">
            <v>1510</v>
          </cell>
          <cell r="C52" t="str">
            <v>Leâ Vaên Ñieàn</v>
          </cell>
          <cell r="E52">
            <v>1</v>
          </cell>
          <cell r="H52" t="str">
            <v>1510</v>
          </cell>
        </row>
        <row r="53">
          <cell r="B53" t="str">
            <v>1511</v>
          </cell>
          <cell r="C53" t="str">
            <v>Nguyeãn Coâng Nhuaän</v>
          </cell>
          <cell r="E53">
            <v>1</v>
          </cell>
          <cell r="H53" t="str">
            <v>1511</v>
          </cell>
        </row>
        <row r="54">
          <cell r="B54" t="str">
            <v>1512</v>
          </cell>
          <cell r="C54" t="str">
            <v>Phaïm Minh Tuaán</v>
          </cell>
          <cell r="E54">
            <v>1</v>
          </cell>
          <cell r="H54" t="str">
            <v>1512</v>
          </cell>
        </row>
        <row r="55">
          <cell r="B55" t="str">
            <v>1513</v>
          </cell>
          <cell r="C55" t="str">
            <v>Nguyeãn Phan Thò Aùnh Nhöït</v>
          </cell>
          <cell r="E55">
            <v>1</v>
          </cell>
          <cell r="H55" t="str">
            <v>1513</v>
          </cell>
        </row>
        <row r="56">
          <cell r="B56" t="str">
            <v>1514</v>
          </cell>
          <cell r="C56" t="str">
            <v>Nguyeãn Hoaøng Phöông</v>
          </cell>
          <cell r="E56">
            <v>1</v>
          </cell>
          <cell r="H56" t="str">
            <v>1514</v>
          </cell>
        </row>
        <row r="57">
          <cell r="B57" t="str">
            <v>1515</v>
          </cell>
          <cell r="C57" t="str">
            <v>Ñoã Hieàn</v>
          </cell>
          <cell r="E57">
            <v>1</v>
          </cell>
          <cell r="H57" t="str">
            <v>1515</v>
          </cell>
        </row>
        <row r="58">
          <cell r="B58" t="str">
            <v>1516</v>
          </cell>
          <cell r="C58" t="str">
            <v>Nguyeãn Ñöùc Taøi</v>
          </cell>
          <cell r="E58">
            <v>1</v>
          </cell>
          <cell r="H58" t="str">
            <v>1516</v>
          </cell>
        </row>
        <row r="59">
          <cell r="B59" t="str">
            <v>1518</v>
          </cell>
          <cell r="C59" t="str">
            <v>Nguyeãn Luaân Anh Vuõ</v>
          </cell>
          <cell r="E59">
            <v>4</v>
          </cell>
          <cell r="H59" t="str">
            <v>1518</v>
          </cell>
        </row>
        <row r="60">
          <cell r="B60" t="str">
            <v>1519</v>
          </cell>
          <cell r="C60" t="str">
            <v>Nguyeãn Vaên Ban</v>
          </cell>
          <cell r="E60">
            <v>1</v>
          </cell>
          <cell r="H60" t="str">
            <v>1519</v>
          </cell>
        </row>
        <row r="61">
          <cell r="B61" t="str">
            <v>1522</v>
          </cell>
          <cell r="C61" t="str">
            <v>Cao Ñình Hieäu</v>
          </cell>
          <cell r="E61">
            <v>1</v>
          </cell>
          <cell r="H61" t="str">
            <v>1522</v>
          </cell>
        </row>
        <row r="62">
          <cell r="B62" t="str">
            <v>P02</v>
          </cell>
          <cell r="C62" t="str">
            <v>Florente B. Nacario</v>
          </cell>
          <cell r="E62" t="str">
            <v/>
          </cell>
          <cell r="H62" t="str">
            <v>P02</v>
          </cell>
        </row>
        <row r="63">
          <cell r="B63" t="str">
            <v>V08</v>
          </cell>
          <cell r="C63" t="str">
            <v>Nguyeãn Thò Bích Ñaøo</v>
          </cell>
          <cell r="E63" t="str">
            <v/>
          </cell>
          <cell r="H63" t="str">
            <v>V08</v>
          </cell>
        </row>
        <row r="64">
          <cell r="B64" t="str">
            <v>V33</v>
          </cell>
          <cell r="C64" t="str">
            <v>Nguyeãn Thò Vieät Vaên</v>
          </cell>
          <cell r="E64" t="str">
            <v/>
          </cell>
          <cell r="H64" t="str">
            <v>V33</v>
          </cell>
        </row>
        <row r="65">
          <cell r="B65" t="str">
            <v>V49</v>
          </cell>
          <cell r="C65" t="str">
            <v>Lieân San</v>
          </cell>
          <cell r="H65" t="str">
            <v>V49</v>
          </cell>
        </row>
        <row r="66">
          <cell r="B66" t="str">
            <v>V60</v>
          </cell>
          <cell r="C66" t="str">
            <v>Nguyeãn Thò Mai Höông</v>
          </cell>
          <cell r="H66" t="str">
            <v>V60</v>
          </cell>
        </row>
        <row r="67">
          <cell r="B67" t="str">
            <v>V65</v>
          </cell>
          <cell r="C67" t="str">
            <v>Trương Vĩ Minh</v>
          </cell>
          <cell r="H67" t="str">
            <v>V65</v>
          </cell>
        </row>
        <row r="68">
          <cell r="B68" t="str">
            <v>V68</v>
          </cell>
          <cell r="C68" t="str">
            <v>Ngoâ Phuùc Haûo</v>
          </cell>
          <cell r="H68" t="str">
            <v>V68</v>
          </cell>
        </row>
        <row r="69">
          <cell r="B69" t="str">
            <v>V69</v>
          </cell>
          <cell r="C69" t="str">
            <v>Laïc Thuïc Lang</v>
          </cell>
          <cell r="H69" t="str">
            <v>V69</v>
          </cell>
        </row>
        <row r="70">
          <cell r="B70" t="str">
            <v>V70</v>
          </cell>
          <cell r="C70" t="str">
            <v>Nguyeãn Truyeän</v>
          </cell>
          <cell r="H70" t="str">
            <v>V70</v>
          </cell>
        </row>
        <row r="71">
          <cell r="B71" t="str">
            <v>V71</v>
          </cell>
          <cell r="C71" t="str">
            <v>Nguyeãn Truùc Chi</v>
          </cell>
          <cell r="H71" t="str">
            <v>V71</v>
          </cell>
        </row>
        <row r="72">
          <cell r="B72" t="str">
            <v>V72</v>
          </cell>
          <cell r="C72" t="str">
            <v>Tröông Traàn Minh Nhöït</v>
          </cell>
          <cell r="H72" t="str">
            <v>V72</v>
          </cell>
        </row>
        <row r="73">
          <cell r="B73" t="str">
            <v>V73</v>
          </cell>
          <cell r="C73" t="str">
            <v>Hoà Quoác Tröôøng</v>
          </cell>
          <cell r="H73" t="str">
            <v>V73</v>
          </cell>
        </row>
        <row r="74">
          <cell r="B74" t="str">
            <v>V74</v>
          </cell>
          <cell r="C74" t="str">
            <v>Traàn Maïnh Höng</v>
          </cell>
          <cell r="H74" t="str">
            <v>V74</v>
          </cell>
        </row>
        <row r="75">
          <cell r="B75" t="str">
            <v>V75</v>
          </cell>
          <cell r="C75" t="str">
            <v>Vuõ Hoaøng Nam</v>
          </cell>
          <cell r="H75" t="str">
            <v>V75</v>
          </cell>
        </row>
        <row r="76">
          <cell r="B76" t="str">
            <v>V77</v>
          </cell>
          <cell r="C76" t="str">
            <v>Mai Sơn Điền</v>
          </cell>
          <cell r="H76" t="str">
            <v>V77</v>
          </cell>
        </row>
        <row r="77">
          <cell r="B77" t="str">
            <v>V78</v>
          </cell>
          <cell r="C77" t="str">
            <v>Traàn Thuïc Boài</v>
          </cell>
          <cell r="H77" t="str">
            <v>V78</v>
          </cell>
        </row>
        <row r="78">
          <cell r="B78" t="str">
            <v>V79</v>
          </cell>
          <cell r="C78" t="str">
            <v>Nguyễn Thị Ngọc Trinh</v>
          </cell>
          <cell r="H78" t="str">
            <v>V79</v>
          </cell>
        </row>
        <row r="79">
          <cell r="B79" t="str">
            <v>V80</v>
          </cell>
          <cell r="C79" t="str">
            <v>Nguyễn Trường Giang</v>
          </cell>
          <cell r="H79" t="str">
            <v>V80</v>
          </cell>
        </row>
        <row r="80">
          <cell r="B80" t="str">
            <v>V81</v>
          </cell>
          <cell r="C80" t="str">
            <v>Vi Thò Thu Huyeàn</v>
          </cell>
          <cell r="H80" t="str">
            <v>V81</v>
          </cell>
        </row>
        <row r="81">
          <cell r="B81" t="str">
            <v>V82</v>
          </cell>
          <cell r="C81" t="str">
            <v>Nguyeãn Ñình Haûi</v>
          </cell>
          <cell r="H81" t="str">
            <v>V82</v>
          </cell>
        </row>
        <row r="82">
          <cell r="B82" t="str">
            <v>V83</v>
          </cell>
          <cell r="C82" t="str">
            <v>Ngoâ Thò Thaùi Döông</v>
          </cell>
          <cell r="H82" t="str">
            <v>V83</v>
          </cell>
        </row>
        <row r="83">
          <cell r="B83" t="str">
            <v>V84</v>
          </cell>
          <cell r="C83" t="str">
            <v>Vuõ Hoaøng Nguyeân</v>
          </cell>
          <cell r="H83" t="str">
            <v>V84</v>
          </cell>
        </row>
        <row r="84">
          <cell r="B84" t="str">
            <v>V85</v>
          </cell>
          <cell r="C84" t="str">
            <v>Ngoâ Thò Bích Ngoïc</v>
          </cell>
          <cell r="H84" t="str">
            <v>V85</v>
          </cell>
        </row>
        <row r="85">
          <cell r="B85" t="str">
            <v>V86</v>
          </cell>
          <cell r="C85" t="str">
            <v>Nguyeãn Thaûo Hieàn</v>
          </cell>
          <cell r="H85" t="str">
            <v>V86</v>
          </cell>
        </row>
        <row r="86">
          <cell r="B86" t="str">
            <v>V87</v>
          </cell>
          <cell r="C86" t="str">
            <v>Toâ Thò NgoïcYeán</v>
          </cell>
          <cell r="H86" t="str">
            <v>V87</v>
          </cell>
        </row>
        <row r="87">
          <cell r="B87" t="str">
            <v>V88</v>
          </cell>
          <cell r="C87" t="str">
            <v>Nguyeãn Thò Thuøy Nhung</v>
          </cell>
          <cell r="H87" t="str">
            <v>V88</v>
          </cell>
        </row>
        <row r="88">
          <cell r="B88" t="str">
            <v>V89</v>
          </cell>
          <cell r="C88" t="str">
            <v>Mai Cát Hân</v>
          </cell>
          <cell r="H88" t="str">
            <v>V89</v>
          </cell>
        </row>
        <row r="89">
          <cell r="B89" t="str">
            <v>V90</v>
          </cell>
          <cell r="C89" t="str">
            <v>Đinh Minh Nhựt</v>
          </cell>
          <cell r="H89" t="str">
            <v>V90</v>
          </cell>
        </row>
        <row r="90">
          <cell r="B90" t="str">
            <v>V91</v>
          </cell>
          <cell r="C90" t="str">
            <v>Taï Aùnh Huy Hoaøng</v>
          </cell>
          <cell r="H90" t="str">
            <v>V91</v>
          </cell>
        </row>
        <row r="91">
          <cell r="B91" t="str">
            <v>V92</v>
          </cell>
          <cell r="C91" t="str">
            <v>Trần Nam Phuù</v>
          </cell>
          <cell r="H91" t="str">
            <v>V92</v>
          </cell>
        </row>
        <row r="92">
          <cell r="B92" t="str">
            <v>V93</v>
          </cell>
          <cell r="C92" t="str">
            <v>Trần Cơ Thanh</v>
          </cell>
          <cell r="H92" t="str">
            <v>V93</v>
          </cell>
        </row>
        <row r="93">
          <cell r="B93" t="str">
            <v>V94</v>
          </cell>
          <cell r="C93" t="str">
            <v>Traàn Thuaän Chaâu</v>
          </cell>
          <cell r="H93" t="str">
            <v>V94</v>
          </cell>
        </row>
        <row r="94">
          <cell r="B94" t="str">
            <v>V95</v>
          </cell>
          <cell r="C94" t="str">
            <v>Phạm Nguyễn Thuøy Trang</v>
          </cell>
          <cell r="H94" t="str">
            <v>V95</v>
          </cell>
        </row>
        <row r="95">
          <cell r="B95">
            <v>1601</v>
          </cell>
          <cell r="C95" t="str">
            <v>Nguyễn Thị Mai Dương</v>
          </cell>
          <cell r="E95">
            <v>1</v>
          </cell>
          <cell r="H95">
            <v>1601</v>
          </cell>
        </row>
        <row r="96">
          <cell r="B96">
            <v>1602</v>
          </cell>
          <cell r="C96" t="str">
            <v>Ngoâ Tieán Ñaït</v>
          </cell>
          <cell r="E96">
            <v>1</v>
          </cell>
          <cell r="H96">
            <v>1602</v>
          </cell>
        </row>
        <row r="97">
          <cell r="B97">
            <v>1603</v>
          </cell>
          <cell r="C97" t="str">
            <v>Trần Đức Vượng</v>
          </cell>
          <cell r="E97">
            <v>1</v>
          </cell>
          <cell r="H97">
            <v>1603</v>
          </cell>
        </row>
        <row r="98">
          <cell r="B98">
            <v>1606</v>
          </cell>
          <cell r="C98" t="str">
            <v>Leâ Vuõ Quang</v>
          </cell>
          <cell r="E98">
            <v>1</v>
          </cell>
          <cell r="H98">
            <v>1606</v>
          </cell>
        </row>
        <row r="99">
          <cell r="B99">
            <v>1607</v>
          </cell>
          <cell r="C99" t="str">
            <v>Nguyễn Quốc Đạt</v>
          </cell>
          <cell r="E99">
            <v>1</v>
          </cell>
          <cell r="H99">
            <v>1607</v>
          </cell>
        </row>
        <row r="100">
          <cell r="B100">
            <v>1608</v>
          </cell>
          <cell r="C100" t="str">
            <v>Phaïm Xuaân Tònh</v>
          </cell>
          <cell r="E100">
            <v>1</v>
          </cell>
          <cell r="H100">
            <v>1608</v>
          </cell>
        </row>
        <row r="101">
          <cell r="B101">
            <v>1609</v>
          </cell>
          <cell r="C101" t="str">
            <v>Nguyễn Ngọc Anh</v>
          </cell>
          <cell r="E101">
            <v>1</v>
          </cell>
          <cell r="H101">
            <v>1609</v>
          </cell>
        </row>
        <row r="102">
          <cell r="B102">
            <v>1611</v>
          </cell>
          <cell r="C102" t="str">
            <v>Ñaëng Xuaân Quyù</v>
          </cell>
          <cell r="E102">
            <v>1</v>
          </cell>
          <cell r="H102">
            <v>1611</v>
          </cell>
        </row>
        <row r="103">
          <cell r="B103">
            <v>1614</v>
          </cell>
          <cell r="C103" t="str">
            <v>Mai Thaønh Haäu</v>
          </cell>
          <cell r="E103">
            <v>1</v>
          </cell>
          <cell r="H103">
            <v>1614</v>
          </cell>
        </row>
        <row r="104">
          <cell r="B104">
            <v>1615</v>
          </cell>
          <cell r="C104" t="str">
            <v>Buøi Thò Hoàng Yeán</v>
          </cell>
          <cell r="E104">
            <v>1</v>
          </cell>
          <cell r="H104">
            <v>1615</v>
          </cell>
        </row>
        <row r="105">
          <cell r="B105">
            <v>1616</v>
          </cell>
          <cell r="C105" t="str">
            <v>Buøi Troïng Hieáu</v>
          </cell>
          <cell r="E105">
            <v>1</v>
          </cell>
          <cell r="H105">
            <v>1616</v>
          </cell>
        </row>
        <row r="106">
          <cell r="B106">
            <v>1618</v>
          </cell>
          <cell r="C106" t="str">
            <v>Trần Thị Anh Thẩm</v>
          </cell>
          <cell r="E106">
            <v>1</v>
          </cell>
          <cell r="H106">
            <v>1618</v>
          </cell>
        </row>
        <row r="107">
          <cell r="B107">
            <v>1619</v>
          </cell>
          <cell r="C107" t="str">
            <v>Dương Thị Hồng Lạc</v>
          </cell>
          <cell r="E107">
            <v>1</v>
          </cell>
          <cell r="H107">
            <v>1619</v>
          </cell>
        </row>
        <row r="108">
          <cell r="B108">
            <v>1626</v>
          </cell>
          <cell r="C108" t="str">
            <v>Nguyễn Hải Thạch</v>
          </cell>
          <cell r="E108">
            <v>1</v>
          </cell>
          <cell r="H108">
            <v>1626</v>
          </cell>
        </row>
        <row r="109">
          <cell r="B109">
            <v>1627</v>
          </cell>
          <cell r="C109" t="str">
            <v>Vũ Tuấn Anh</v>
          </cell>
          <cell r="E109">
            <v>1</v>
          </cell>
          <cell r="H109">
            <v>1627</v>
          </cell>
        </row>
        <row r="110">
          <cell r="B110">
            <v>1628</v>
          </cell>
          <cell r="C110" t="str">
            <v>Mai Caùt Haân</v>
          </cell>
          <cell r="E110">
            <v>1</v>
          </cell>
          <cell r="H110">
            <v>1628</v>
          </cell>
        </row>
        <row r="111">
          <cell r="B111">
            <v>1630</v>
          </cell>
          <cell r="C111" t="str">
            <v>Trònh Xaø Vong</v>
          </cell>
          <cell r="E111">
            <v>1</v>
          </cell>
          <cell r="H111">
            <v>1630</v>
          </cell>
        </row>
        <row r="112">
          <cell r="B112">
            <v>1631</v>
          </cell>
          <cell r="C112" t="str">
            <v>Leâ Minh Hoaøng</v>
          </cell>
          <cell r="E112">
            <v>1</v>
          </cell>
          <cell r="H112">
            <v>1631</v>
          </cell>
        </row>
        <row r="113">
          <cell r="B113">
            <v>1632</v>
          </cell>
          <cell r="C113" t="str">
            <v>Đỗ Thanh Đạt</v>
          </cell>
          <cell r="E113">
            <v>1</v>
          </cell>
          <cell r="H113">
            <v>1632</v>
          </cell>
        </row>
        <row r="114">
          <cell r="B114">
            <v>1634</v>
          </cell>
          <cell r="C114" t="str">
            <v>Nguyeãn Kieân Haûi</v>
          </cell>
          <cell r="E114">
            <v>1</v>
          </cell>
          <cell r="H114">
            <v>1634</v>
          </cell>
        </row>
        <row r="115">
          <cell r="B115">
            <v>1635</v>
          </cell>
          <cell r="C115" t="str">
            <v>Nguyeãn Coâng Haäu</v>
          </cell>
          <cell r="E115">
            <v>1</v>
          </cell>
          <cell r="H115">
            <v>1635</v>
          </cell>
        </row>
        <row r="116">
          <cell r="B116">
            <v>1636</v>
          </cell>
          <cell r="C116" t="str">
            <v>Traàn Xuaân Ñaïi</v>
          </cell>
          <cell r="E116">
            <v>1</v>
          </cell>
          <cell r="H116">
            <v>1636</v>
          </cell>
        </row>
        <row r="117">
          <cell r="B117">
            <v>1638</v>
          </cell>
          <cell r="C117" t="str">
            <v>Leâ Minh Daøu</v>
          </cell>
          <cell r="E117">
            <v>1</v>
          </cell>
          <cell r="H117">
            <v>1638</v>
          </cell>
        </row>
        <row r="118">
          <cell r="B118">
            <v>1639</v>
          </cell>
          <cell r="C118" t="str">
            <v>Phạm Thế Sơn</v>
          </cell>
          <cell r="E118">
            <v>1</v>
          </cell>
          <cell r="H118">
            <v>1639</v>
          </cell>
        </row>
        <row r="119">
          <cell r="B119">
            <v>1640</v>
          </cell>
          <cell r="C119" t="str">
            <v>Nguyeãn Hoaøng Lam</v>
          </cell>
          <cell r="E119">
            <v>1</v>
          </cell>
          <cell r="H119" t="str">
            <v>1640</v>
          </cell>
        </row>
        <row r="120">
          <cell r="B120">
            <v>1641</v>
          </cell>
          <cell r="C120" t="str">
            <v>Nguyễn Hữu Phước</v>
          </cell>
          <cell r="E120">
            <v>1</v>
          </cell>
          <cell r="H120" t="str">
            <v>1641</v>
          </cell>
        </row>
        <row r="121">
          <cell r="B121">
            <v>1642</v>
          </cell>
          <cell r="C121" t="str">
            <v>Nguyễn Thị Mai Thi</v>
          </cell>
          <cell r="E121">
            <v>1</v>
          </cell>
          <cell r="H121" t="str">
            <v>1642</v>
          </cell>
        </row>
        <row r="122">
          <cell r="B122">
            <v>1643</v>
          </cell>
          <cell r="C122" t="str">
            <v>Nguyễn Baù Quaân</v>
          </cell>
          <cell r="E122">
            <v>1</v>
          </cell>
          <cell r="H122" t="str">
            <v>1643</v>
          </cell>
        </row>
        <row r="123">
          <cell r="B123">
            <v>1644</v>
          </cell>
          <cell r="C123" t="str">
            <v>Nguyeãn Phi Vuõ</v>
          </cell>
          <cell r="E123">
            <v>1</v>
          </cell>
          <cell r="H123" t="str">
            <v>1644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tem"/>
      <sheetName val="Classification"/>
      <sheetName val="PIVTOT"/>
      <sheetName val="CTGS"/>
      <sheetName val="ACad"/>
      <sheetName val="RG"/>
      <sheetName val="Decision"/>
      <sheetName val="Decision (2)"/>
      <sheetName val="Details"/>
      <sheetName val="Target"/>
      <sheetName val="luong"/>
      <sheetName val="chuyenkhoan"/>
      <sheetName val="chuyenkhoanmb"/>
      <sheetName val="Pay by Cash"/>
    </sheetNames>
    <sheetDataSet>
      <sheetData sheetId="0">
        <row r="10">
          <cell r="B10" t="str">
            <v>MaSo</v>
          </cell>
          <cell r="C10" t="str">
            <v>HoVaTen</v>
          </cell>
          <cell r="D10" t="str">
            <v>% Decrease</v>
          </cell>
          <cell r="E10" t="str">
            <v>BacHV</v>
          </cell>
          <cell r="F10" t="str">
            <v>MaPhanLoai</v>
          </cell>
          <cell r="G10" t="str">
            <v>DM level</v>
          </cell>
          <cell r="H10" t="str">
            <v>Maso</v>
          </cell>
        </row>
        <row r="11">
          <cell r="B11" t="str">
            <v>008</v>
          </cell>
          <cell r="C11" t="str">
            <v>Traàn Minh Thaéng</v>
          </cell>
          <cell r="E11">
            <v>4</v>
          </cell>
          <cell r="H11" t="str">
            <v>008</v>
          </cell>
        </row>
        <row r="12">
          <cell r="B12" t="str">
            <v>014</v>
          </cell>
          <cell r="C12" t="str">
            <v>Ñoã Thò Bích Haïnh</v>
          </cell>
          <cell r="E12">
            <v>5</v>
          </cell>
          <cell r="F12" t="str">
            <v>11A</v>
          </cell>
          <cell r="G12" t="str">
            <v>11A</v>
          </cell>
          <cell r="H12" t="str">
            <v>014</v>
          </cell>
        </row>
        <row r="13">
          <cell r="B13" t="str">
            <v>023</v>
          </cell>
          <cell r="C13" t="str">
            <v>Taêng Duy Taân</v>
          </cell>
          <cell r="E13">
            <v>4</v>
          </cell>
          <cell r="H13" t="str">
            <v>023</v>
          </cell>
        </row>
        <row r="14">
          <cell r="B14" t="str">
            <v>052</v>
          </cell>
          <cell r="C14" t="str">
            <v>Nguyeãn Thò Vaân Anh</v>
          </cell>
          <cell r="E14">
            <v>6</v>
          </cell>
          <cell r="F14" t="str">
            <v>11A</v>
          </cell>
          <cell r="G14" t="str">
            <v>11A</v>
          </cell>
          <cell r="H14" t="str">
            <v>052</v>
          </cell>
        </row>
        <row r="15">
          <cell r="B15" t="str">
            <v>061</v>
          </cell>
          <cell r="C15" t="str">
            <v>Buøi Töôøng Long</v>
          </cell>
          <cell r="E15">
            <v>6</v>
          </cell>
          <cell r="F15" t="str">
            <v>11A</v>
          </cell>
          <cell r="G15" t="str">
            <v>11A</v>
          </cell>
          <cell r="H15" t="str">
            <v>061</v>
          </cell>
        </row>
        <row r="16">
          <cell r="B16" t="str">
            <v>071</v>
          </cell>
          <cell r="C16" t="str">
            <v>Leâ Hoaøng Syõ</v>
          </cell>
          <cell r="E16">
            <v>4</v>
          </cell>
          <cell r="F16" t="str">
            <v>11A</v>
          </cell>
          <cell r="G16" t="str">
            <v>11A</v>
          </cell>
          <cell r="H16" t="str">
            <v>071</v>
          </cell>
        </row>
        <row r="17">
          <cell r="B17" t="str">
            <v>113</v>
          </cell>
          <cell r="C17" t="str">
            <v>Döông Hoàng Loan</v>
          </cell>
          <cell r="E17">
            <v>4</v>
          </cell>
          <cell r="F17" t="str">
            <v>11A</v>
          </cell>
          <cell r="G17" t="str">
            <v>09A</v>
          </cell>
          <cell r="H17" t="str">
            <v>113</v>
          </cell>
        </row>
        <row r="18">
          <cell r="B18" t="str">
            <v>115</v>
          </cell>
          <cell r="C18" t="str">
            <v>Toân Thaát Löïc</v>
          </cell>
          <cell r="E18">
            <v>4</v>
          </cell>
          <cell r="F18" t="str">
            <v>11A</v>
          </cell>
          <cell r="G18" t="str">
            <v>11A</v>
          </cell>
          <cell r="H18" t="str">
            <v>115</v>
          </cell>
        </row>
        <row r="19">
          <cell r="B19" t="str">
            <v>119</v>
          </cell>
          <cell r="C19" t="str">
            <v>Ngoâ Traàn Minh</v>
          </cell>
          <cell r="E19">
            <v>6</v>
          </cell>
          <cell r="F19" t="str">
            <v>11A</v>
          </cell>
          <cell r="G19" t="str">
            <v>11A</v>
          </cell>
          <cell r="H19" t="str">
            <v>119</v>
          </cell>
        </row>
        <row r="20">
          <cell r="B20" t="str">
            <v>134</v>
          </cell>
          <cell r="C20" t="str">
            <v>Hoaøng Vónh Taâm</v>
          </cell>
          <cell r="E20">
            <v>4</v>
          </cell>
          <cell r="F20" t="str">
            <v>11A</v>
          </cell>
          <cell r="G20" t="str">
            <v>11A</v>
          </cell>
          <cell r="H20" t="str">
            <v>134</v>
          </cell>
        </row>
        <row r="21">
          <cell r="B21" t="str">
            <v>139</v>
          </cell>
          <cell r="C21" t="str">
            <v>Laâm Ñình Thieän</v>
          </cell>
          <cell r="E21">
            <v>4</v>
          </cell>
          <cell r="F21" t="str">
            <v>11A</v>
          </cell>
          <cell r="H21" t="str">
            <v>139</v>
          </cell>
        </row>
        <row r="22">
          <cell r="B22" t="str">
            <v>135</v>
          </cell>
          <cell r="C22" t="str">
            <v>Leâ Chí Thaân</v>
          </cell>
          <cell r="E22">
            <v>4</v>
          </cell>
          <cell r="H22" t="str">
            <v>135</v>
          </cell>
        </row>
        <row r="23">
          <cell r="B23" t="str">
            <v>155</v>
          </cell>
          <cell r="C23" t="str">
            <v>Nguyeãn Minh Tuøng</v>
          </cell>
          <cell r="E23">
            <v>4</v>
          </cell>
          <cell r="H23" t="str">
            <v>155</v>
          </cell>
        </row>
        <row r="24">
          <cell r="B24" t="str">
            <v>161</v>
          </cell>
          <cell r="C24" t="str">
            <v>Nguyeãn Vaên Haây</v>
          </cell>
          <cell r="E24">
            <v>4</v>
          </cell>
          <cell r="F24" t="str">
            <v>09A</v>
          </cell>
          <cell r="G24" t="str">
            <v>11B</v>
          </cell>
          <cell r="H24" t="str">
            <v>161</v>
          </cell>
        </row>
        <row r="25">
          <cell r="B25" t="str">
            <v>165</v>
          </cell>
          <cell r="C25" t="str">
            <v>Voõ Huy Phong</v>
          </cell>
          <cell r="E25">
            <v>6</v>
          </cell>
          <cell r="F25" t="str">
            <v>11A</v>
          </cell>
          <cell r="G25" t="str">
            <v>11A</v>
          </cell>
          <cell r="H25" t="str">
            <v>165</v>
          </cell>
        </row>
        <row r="26">
          <cell r="B26" t="str">
            <v>172</v>
          </cell>
          <cell r="C26" t="str">
            <v>Nguyeãn Baù Thaønh</v>
          </cell>
          <cell r="E26">
            <v>5</v>
          </cell>
          <cell r="F26" t="str">
            <v>11A</v>
          </cell>
          <cell r="G26" t="str">
            <v>11A</v>
          </cell>
          <cell r="H26" t="str">
            <v>172</v>
          </cell>
        </row>
        <row r="27">
          <cell r="B27" t="str">
            <v>178</v>
          </cell>
          <cell r="C27" t="str">
            <v>Voøng Vaø Tuaán</v>
          </cell>
          <cell r="E27">
            <v>6</v>
          </cell>
          <cell r="F27" t="str">
            <v>11A</v>
          </cell>
          <cell r="G27" t="str">
            <v>11A</v>
          </cell>
          <cell r="H27" t="str">
            <v>178</v>
          </cell>
        </row>
        <row r="28">
          <cell r="B28" t="str">
            <v>180</v>
          </cell>
          <cell r="C28" t="str">
            <v>Ñaëng Thò Ngoïc Hoàng</v>
          </cell>
          <cell r="E28">
            <v>4</v>
          </cell>
          <cell r="H28" t="str">
            <v>180</v>
          </cell>
        </row>
        <row r="29">
          <cell r="B29" t="str">
            <v>306</v>
          </cell>
          <cell r="C29" t="str">
            <v>Nguyeãn Tieán Ñaït</v>
          </cell>
          <cell r="E29">
            <v>5</v>
          </cell>
          <cell r="F29" t="str">
            <v>11A</v>
          </cell>
          <cell r="G29" t="str">
            <v>07A</v>
          </cell>
          <cell r="H29" t="str">
            <v>306</v>
          </cell>
        </row>
        <row r="30">
          <cell r="B30" t="str">
            <v>307</v>
          </cell>
          <cell r="C30" t="str">
            <v>Nguyeãn Nguyeân Huøng</v>
          </cell>
          <cell r="E30">
            <v>4</v>
          </cell>
          <cell r="F30" t="str">
            <v>09A</v>
          </cell>
          <cell r="G30" t="str">
            <v>07A</v>
          </cell>
          <cell r="H30" t="str">
            <v>307</v>
          </cell>
        </row>
        <row r="31">
          <cell r="B31" t="str">
            <v>309</v>
          </cell>
          <cell r="C31" t="str">
            <v>Traàn Thò Ngoïc Dung</v>
          </cell>
          <cell r="E31">
            <v>4</v>
          </cell>
          <cell r="F31" t="str">
            <v>09B</v>
          </cell>
          <cell r="G31" t="str">
            <v>07B</v>
          </cell>
          <cell r="H31" t="str">
            <v>309</v>
          </cell>
        </row>
        <row r="32">
          <cell r="B32" t="str">
            <v>421</v>
          </cell>
          <cell r="C32" t="str">
            <v>Phạm Tuấn Anh</v>
          </cell>
          <cell r="H32" t="str">
            <v>421</v>
          </cell>
        </row>
        <row r="33">
          <cell r="B33" t="str">
            <v>615</v>
          </cell>
          <cell r="C33" t="str">
            <v>Huyønh Ngoïc Baïch</v>
          </cell>
          <cell r="E33">
            <v>4</v>
          </cell>
          <cell r="G33" t="str">
            <v>05A</v>
          </cell>
          <cell r="H33" t="str">
            <v>615</v>
          </cell>
        </row>
        <row r="34">
          <cell r="B34" t="str">
            <v>473</v>
          </cell>
          <cell r="C34" t="str">
            <v>Nguyeãn Trieäu Ñaït</v>
          </cell>
          <cell r="E34">
            <v>4</v>
          </cell>
          <cell r="H34" t="str">
            <v>473</v>
          </cell>
        </row>
        <row r="35">
          <cell r="B35" t="str">
            <v>869</v>
          </cell>
          <cell r="C35" t="str">
            <v>Cao Vaên Hoaøng</v>
          </cell>
          <cell r="E35">
            <v>4</v>
          </cell>
          <cell r="H35" t="str">
            <v>869</v>
          </cell>
        </row>
        <row r="36">
          <cell r="B36" t="str">
            <v>906</v>
          </cell>
          <cell r="C36" t="str">
            <v>Traàn Thanh Thaûo</v>
          </cell>
          <cell r="E36">
            <v>4</v>
          </cell>
          <cell r="H36" t="str">
            <v>906</v>
          </cell>
        </row>
        <row r="37">
          <cell r="B37" t="str">
            <v>1111</v>
          </cell>
          <cell r="C37" t="str">
            <v>Vuõ Phong Long Quaân</v>
          </cell>
          <cell r="E37">
            <v>1</v>
          </cell>
          <cell r="G37" t="str">
            <v>01C</v>
          </cell>
          <cell r="H37" t="str">
            <v>1111</v>
          </cell>
        </row>
        <row r="38">
          <cell r="B38" t="str">
            <v>1101</v>
          </cell>
          <cell r="C38" t="str">
            <v>Laâm Trung Bình</v>
          </cell>
          <cell r="E38">
            <v>2</v>
          </cell>
          <cell r="F38" t="str">
            <v>07B</v>
          </cell>
          <cell r="H38" t="str">
            <v>1101</v>
          </cell>
        </row>
        <row r="39">
          <cell r="B39" t="str">
            <v>1102</v>
          </cell>
          <cell r="C39" t="str">
            <v>Thaùi Trung Duõng</v>
          </cell>
          <cell r="E39">
            <v>2</v>
          </cell>
          <cell r="H39" t="str">
            <v>1102</v>
          </cell>
        </row>
        <row r="40">
          <cell r="B40" t="str">
            <v>1103</v>
          </cell>
          <cell r="C40" t="str">
            <v>Cao Ñình Döông</v>
          </cell>
          <cell r="E40">
            <v>4</v>
          </cell>
          <cell r="H40" t="str">
            <v>1103</v>
          </cell>
        </row>
        <row r="41">
          <cell r="B41" t="str">
            <v>1105</v>
          </cell>
          <cell r="C41" t="str">
            <v>Traàn Vaên Hieáu</v>
          </cell>
          <cell r="E41">
            <v>2</v>
          </cell>
          <cell r="F41" t="str">
            <v>07B</v>
          </cell>
          <cell r="G41" t="str">
            <v>01C</v>
          </cell>
          <cell r="H41" t="str">
            <v>1105</v>
          </cell>
        </row>
        <row r="42">
          <cell r="B42" t="str">
            <v>1106</v>
          </cell>
          <cell r="C42" t="str">
            <v>Nguyeãn Ñöùc Huy</v>
          </cell>
          <cell r="E42">
            <v>2</v>
          </cell>
          <cell r="F42" t="str">
            <v>07B</v>
          </cell>
          <cell r="G42" t="str">
            <v>01C</v>
          </cell>
          <cell r="H42" t="str">
            <v>1106</v>
          </cell>
        </row>
        <row r="43">
          <cell r="B43" t="str">
            <v>1108</v>
          </cell>
          <cell r="C43" t="str">
            <v>Nguyeãn Thò Nhung</v>
          </cell>
          <cell r="E43">
            <v>2</v>
          </cell>
          <cell r="H43" t="str">
            <v>1108</v>
          </cell>
        </row>
        <row r="44">
          <cell r="B44" t="str">
            <v>1300</v>
          </cell>
          <cell r="C44" t="str">
            <v>Nguyễn Thị Tuyết Nga</v>
          </cell>
          <cell r="E44">
            <v>1</v>
          </cell>
          <cell r="F44" t="str">
            <v>05B</v>
          </cell>
          <cell r="H44" t="str">
            <v>1300</v>
          </cell>
        </row>
        <row r="45">
          <cell r="B45" t="str">
            <v>1302</v>
          </cell>
          <cell r="C45" t="str">
            <v>Voõ Thò Moäng Thuùy</v>
          </cell>
          <cell r="E45">
            <v>2</v>
          </cell>
          <cell r="H45" t="str">
            <v>1302</v>
          </cell>
        </row>
        <row r="46">
          <cell r="B46" t="str">
            <v>1406</v>
          </cell>
          <cell r="C46" t="str">
            <v>Traàn Thieân Vöông</v>
          </cell>
          <cell r="E46">
            <v>2</v>
          </cell>
          <cell r="F46" t="str">
            <v>05B</v>
          </cell>
          <cell r="H46" t="str">
            <v>1406</v>
          </cell>
        </row>
        <row r="47">
          <cell r="B47" t="str">
            <v>1409</v>
          </cell>
          <cell r="C47" t="str">
            <v>Leâ Traàn Vuõ Phöông</v>
          </cell>
          <cell r="E47">
            <v>1</v>
          </cell>
          <cell r="H47" t="str">
            <v>1409</v>
          </cell>
        </row>
        <row r="48">
          <cell r="B48" t="str">
            <v>1505</v>
          </cell>
          <cell r="C48" t="str">
            <v>Traàn Ñöùc Nghò</v>
          </cell>
          <cell r="E48">
            <v>1</v>
          </cell>
          <cell r="H48" t="str">
            <v>1505</v>
          </cell>
        </row>
        <row r="49">
          <cell r="B49" t="str">
            <v>1507</v>
          </cell>
          <cell r="C49" t="str">
            <v>Ñinh Vaên Giang</v>
          </cell>
          <cell r="E49">
            <v>1</v>
          </cell>
          <cell r="H49" t="str">
            <v>1507</v>
          </cell>
        </row>
        <row r="50">
          <cell r="B50" t="str">
            <v>1508</v>
          </cell>
          <cell r="C50" t="str">
            <v>Nguyeãn Vaên Duõng</v>
          </cell>
          <cell r="E50">
            <v>1</v>
          </cell>
          <cell r="H50" t="str">
            <v>1508</v>
          </cell>
        </row>
        <row r="51">
          <cell r="B51" t="str">
            <v>1509</v>
          </cell>
          <cell r="C51" t="str">
            <v>Chaâu Thò Myõ Tuù</v>
          </cell>
          <cell r="E51">
            <v>1</v>
          </cell>
          <cell r="H51" t="str">
            <v>1509</v>
          </cell>
        </row>
        <row r="52">
          <cell r="B52" t="str">
            <v>1510</v>
          </cell>
          <cell r="C52" t="str">
            <v>Leâ Vaên Ñieàn</v>
          </cell>
          <cell r="E52">
            <v>1</v>
          </cell>
          <cell r="H52" t="str">
            <v>1510</v>
          </cell>
        </row>
        <row r="53">
          <cell r="B53" t="str">
            <v>1511</v>
          </cell>
          <cell r="C53" t="str">
            <v>Nguyeãn Coâng Nhuaän</v>
          </cell>
          <cell r="E53">
            <v>1</v>
          </cell>
          <cell r="H53" t="str">
            <v>1511</v>
          </cell>
        </row>
        <row r="54">
          <cell r="B54" t="str">
            <v>1512</v>
          </cell>
          <cell r="C54" t="str">
            <v>Phaïm Minh Tuaán</v>
          </cell>
          <cell r="E54">
            <v>1</v>
          </cell>
          <cell r="H54" t="str">
            <v>1512</v>
          </cell>
        </row>
        <row r="55">
          <cell r="B55" t="str">
            <v>1513</v>
          </cell>
          <cell r="C55" t="str">
            <v>Nguyeãn Phan Thò Aùnh Nhöït</v>
          </cell>
          <cell r="E55">
            <v>1</v>
          </cell>
          <cell r="H55" t="str">
            <v>1513</v>
          </cell>
        </row>
        <row r="56">
          <cell r="B56" t="str">
            <v>1514</v>
          </cell>
          <cell r="C56" t="str">
            <v>Nguyeãn Hoaøng Phöông</v>
          </cell>
          <cell r="E56">
            <v>1</v>
          </cell>
          <cell r="H56" t="str">
            <v>1514</v>
          </cell>
        </row>
        <row r="57">
          <cell r="B57" t="str">
            <v>1515</v>
          </cell>
          <cell r="C57" t="str">
            <v>Ñoã Hieàn</v>
          </cell>
          <cell r="E57">
            <v>1</v>
          </cell>
          <cell r="H57" t="str">
            <v>1515</v>
          </cell>
        </row>
        <row r="58">
          <cell r="B58" t="str">
            <v>1516</v>
          </cell>
          <cell r="C58" t="str">
            <v>Nguyeãn Ñöùc Taøi</v>
          </cell>
          <cell r="E58">
            <v>1</v>
          </cell>
          <cell r="H58" t="str">
            <v>1516</v>
          </cell>
        </row>
        <row r="59">
          <cell r="B59" t="str">
            <v>1518</v>
          </cell>
          <cell r="C59" t="str">
            <v>Nguyeãn Luaân Anh Vuõ</v>
          </cell>
          <cell r="E59">
            <v>4</v>
          </cell>
          <cell r="H59" t="str">
            <v>1518</v>
          </cell>
        </row>
        <row r="60">
          <cell r="B60" t="str">
            <v>1519</v>
          </cell>
          <cell r="C60" t="str">
            <v>Nguyeãn Vaên Ban</v>
          </cell>
          <cell r="E60">
            <v>1</v>
          </cell>
          <cell r="H60" t="str">
            <v>1519</v>
          </cell>
        </row>
        <row r="61">
          <cell r="B61" t="str">
            <v>1522</v>
          </cell>
          <cell r="C61" t="str">
            <v>Cao Ñình Hieäu</v>
          </cell>
          <cell r="E61">
            <v>1</v>
          </cell>
          <cell r="H61" t="str">
            <v>1522</v>
          </cell>
        </row>
        <row r="62">
          <cell r="B62" t="str">
            <v>P02</v>
          </cell>
          <cell r="C62" t="str">
            <v>Florente B. Nacario</v>
          </cell>
          <cell r="E62" t="str">
            <v/>
          </cell>
          <cell r="H62" t="str">
            <v>P02</v>
          </cell>
        </row>
        <row r="63">
          <cell r="B63" t="str">
            <v>V08</v>
          </cell>
          <cell r="C63" t="str">
            <v>Nguyeãn Thò Bích Ñaøo</v>
          </cell>
          <cell r="E63" t="str">
            <v/>
          </cell>
          <cell r="H63" t="str">
            <v>V08</v>
          </cell>
        </row>
        <row r="64">
          <cell r="B64" t="str">
            <v>V33</v>
          </cell>
          <cell r="C64" t="str">
            <v>Nguyeãn Thò Vieät Vaên</v>
          </cell>
          <cell r="E64" t="str">
            <v/>
          </cell>
          <cell r="H64" t="str">
            <v>V33</v>
          </cell>
        </row>
        <row r="65">
          <cell r="B65" t="str">
            <v>V49</v>
          </cell>
          <cell r="C65" t="str">
            <v>Lieân San</v>
          </cell>
          <cell r="H65" t="str">
            <v>V49</v>
          </cell>
        </row>
        <row r="66">
          <cell r="B66" t="str">
            <v>V60</v>
          </cell>
          <cell r="C66" t="str">
            <v>Nguyeãn Thò Mai Höông</v>
          </cell>
          <cell r="H66" t="str">
            <v>V60</v>
          </cell>
        </row>
        <row r="67">
          <cell r="B67" t="str">
            <v>V65</v>
          </cell>
          <cell r="C67" t="str">
            <v>Trương Vĩ Minh</v>
          </cell>
          <cell r="H67" t="str">
            <v>V65</v>
          </cell>
        </row>
        <row r="68">
          <cell r="B68" t="str">
            <v>V68</v>
          </cell>
          <cell r="C68" t="str">
            <v>Ngoâ Phuùc Haûo</v>
          </cell>
          <cell r="H68" t="str">
            <v>V68</v>
          </cell>
        </row>
        <row r="69">
          <cell r="B69" t="str">
            <v>V69</v>
          </cell>
          <cell r="C69" t="str">
            <v>Laïc Thuïc Lang</v>
          </cell>
          <cell r="H69" t="str">
            <v>V69</v>
          </cell>
        </row>
        <row r="70">
          <cell r="B70" t="str">
            <v>V70</v>
          </cell>
          <cell r="C70" t="str">
            <v>Nguyeãn Truyeän</v>
          </cell>
          <cell r="H70" t="str">
            <v>V70</v>
          </cell>
        </row>
        <row r="71">
          <cell r="B71" t="str">
            <v>V71</v>
          </cell>
          <cell r="C71" t="str">
            <v>Nguyeãn Truùc Chi</v>
          </cell>
          <cell r="H71" t="str">
            <v>V71</v>
          </cell>
        </row>
        <row r="72">
          <cell r="B72" t="str">
            <v>V72</v>
          </cell>
          <cell r="C72" t="str">
            <v>Tröông Traàn Minh Nhöït</v>
          </cell>
          <cell r="H72" t="str">
            <v>V72</v>
          </cell>
        </row>
        <row r="73">
          <cell r="B73" t="str">
            <v>V73</v>
          </cell>
          <cell r="C73" t="str">
            <v>Hoà Quoác Tröôøng</v>
          </cell>
          <cell r="H73" t="str">
            <v>V73</v>
          </cell>
        </row>
        <row r="74">
          <cell r="B74" t="str">
            <v>V74</v>
          </cell>
          <cell r="C74" t="str">
            <v>Traàn Maïnh Höng</v>
          </cell>
          <cell r="H74" t="str">
            <v>V74</v>
          </cell>
        </row>
        <row r="75">
          <cell r="B75" t="str">
            <v>V75</v>
          </cell>
          <cell r="C75" t="str">
            <v>Vuõ Hoaøng Nam</v>
          </cell>
          <cell r="H75" t="str">
            <v>V75</v>
          </cell>
        </row>
        <row r="76">
          <cell r="B76" t="str">
            <v>V77</v>
          </cell>
          <cell r="C76" t="str">
            <v>Mai Sơn Điền</v>
          </cell>
          <cell r="H76" t="str">
            <v>V77</v>
          </cell>
        </row>
        <row r="77">
          <cell r="B77" t="str">
            <v>V78</v>
          </cell>
          <cell r="C77" t="str">
            <v>Traàn Thuïc Boài</v>
          </cell>
          <cell r="H77" t="str">
            <v>V78</v>
          </cell>
        </row>
        <row r="78">
          <cell r="B78" t="str">
            <v>V79</v>
          </cell>
          <cell r="C78" t="str">
            <v>Nguyễn Thị Ngọc Trinh</v>
          </cell>
          <cell r="H78" t="str">
            <v>V79</v>
          </cell>
        </row>
        <row r="79">
          <cell r="B79" t="str">
            <v>V80</v>
          </cell>
          <cell r="C79" t="str">
            <v>Nguyễn Trường Giang</v>
          </cell>
          <cell r="H79" t="str">
            <v>V80</v>
          </cell>
        </row>
        <row r="80">
          <cell r="B80" t="str">
            <v>V81</v>
          </cell>
          <cell r="C80" t="str">
            <v>Vi Thò Thu Huyeàn</v>
          </cell>
          <cell r="H80" t="str">
            <v>V81</v>
          </cell>
        </row>
        <row r="81">
          <cell r="B81" t="str">
            <v>V82</v>
          </cell>
          <cell r="C81" t="str">
            <v>Nguyeãn Ñình Haûi</v>
          </cell>
          <cell r="H81" t="str">
            <v>V82</v>
          </cell>
        </row>
        <row r="82">
          <cell r="B82" t="str">
            <v>V83</v>
          </cell>
          <cell r="C82" t="str">
            <v>Ngoâ Thò Thaùi Döông</v>
          </cell>
          <cell r="H82" t="str">
            <v>V83</v>
          </cell>
        </row>
        <row r="83">
          <cell r="B83" t="str">
            <v>V84</v>
          </cell>
          <cell r="C83" t="str">
            <v>Vuõ Hoaøng Nguyeân</v>
          </cell>
          <cell r="H83" t="str">
            <v>V84</v>
          </cell>
        </row>
        <row r="84">
          <cell r="B84" t="str">
            <v>V85</v>
          </cell>
          <cell r="C84" t="str">
            <v>Ngoâ Thò Bích Ngoïc</v>
          </cell>
          <cell r="H84" t="str">
            <v>V85</v>
          </cell>
        </row>
        <row r="85">
          <cell r="B85" t="str">
            <v>V86</v>
          </cell>
          <cell r="C85" t="str">
            <v>Nguyeãn Thaûo Hieàn</v>
          </cell>
          <cell r="H85" t="str">
            <v>V86</v>
          </cell>
        </row>
        <row r="86">
          <cell r="B86" t="str">
            <v>V87</v>
          </cell>
          <cell r="C86" t="str">
            <v>Toâ Thò NgoïcYeán</v>
          </cell>
          <cell r="H86" t="str">
            <v>V87</v>
          </cell>
        </row>
        <row r="87">
          <cell r="B87" t="str">
            <v>V88</v>
          </cell>
          <cell r="C87" t="str">
            <v>Nguyeãn Thò Thuøy Nhung</v>
          </cell>
          <cell r="H87" t="str">
            <v>V88</v>
          </cell>
        </row>
        <row r="88">
          <cell r="B88" t="str">
            <v>V89</v>
          </cell>
          <cell r="C88" t="str">
            <v>Mai Cát Hân</v>
          </cell>
          <cell r="H88" t="str">
            <v>V89</v>
          </cell>
        </row>
        <row r="89">
          <cell r="B89" t="str">
            <v>V90</v>
          </cell>
          <cell r="C89" t="str">
            <v>Đinh Minh Nhựt</v>
          </cell>
          <cell r="H89" t="str">
            <v>V90</v>
          </cell>
        </row>
        <row r="90">
          <cell r="B90" t="str">
            <v>V91</v>
          </cell>
          <cell r="C90" t="str">
            <v>Taï Aùnh Huy Hoaøng</v>
          </cell>
          <cell r="H90" t="str">
            <v>V91</v>
          </cell>
        </row>
        <row r="91">
          <cell r="B91" t="str">
            <v>V92</v>
          </cell>
          <cell r="C91" t="str">
            <v>Trần Nam Phuù</v>
          </cell>
          <cell r="H91" t="str">
            <v>V92</v>
          </cell>
        </row>
        <row r="92">
          <cell r="B92" t="str">
            <v>V93</v>
          </cell>
          <cell r="C92" t="str">
            <v>Trần Cơ Thanh</v>
          </cell>
          <cell r="H92" t="str">
            <v>V93</v>
          </cell>
        </row>
        <row r="93">
          <cell r="B93" t="str">
            <v>V94</v>
          </cell>
          <cell r="C93" t="str">
            <v>Traàn Thuaän Chaâu</v>
          </cell>
          <cell r="H93" t="str">
            <v>V94</v>
          </cell>
        </row>
        <row r="94">
          <cell r="B94" t="str">
            <v>V95</v>
          </cell>
          <cell r="C94" t="str">
            <v>Phạm Nguyễn Thuøy Trang</v>
          </cell>
          <cell r="H94" t="str">
            <v>V95</v>
          </cell>
        </row>
        <row r="95">
          <cell r="B95">
            <v>1601</v>
          </cell>
          <cell r="C95" t="str">
            <v>Nguyễn Thị Mai Dương</v>
          </cell>
          <cell r="E95">
            <v>1</v>
          </cell>
          <cell r="H95">
            <v>1601</v>
          </cell>
        </row>
        <row r="96">
          <cell r="B96">
            <v>1602</v>
          </cell>
          <cell r="C96" t="str">
            <v>Ngoâ Tieán Ñaït</v>
          </cell>
          <cell r="E96">
            <v>1</v>
          </cell>
          <cell r="H96">
            <v>1602</v>
          </cell>
        </row>
        <row r="97">
          <cell r="B97">
            <v>1603</v>
          </cell>
          <cell r="C97" t="str">
            <v>Trần Đức Vượng</v>
          </cell>
          <cell r="E97">
            <v>1</v>
          </cell>
          <cell r="H97">
            <v>1603</v>
          </cell>
        </row>
        <row r="98">
          <cell r="B98">
            <v>1606</v>
          </cell>
          <cell r="C98" t="str">
            <v>Leâ Vuõ Quang</v>
          </cell>
          <cell r="E98">
            <v>1</v>
          </cell>
          <cell r="H98">
            <v>1606</v>
          </cell>
        </row>
        <row r="99">
          <cell r="B99">
            <v>1607</v>
          </cell>
          <cell r="C99" t="str">
            <v>Nguyễn Quốc Đạt</v>
          </cell>
          <cell r="E99">
            <v>1</v>
          </cell>
          <cell r="H99">
            <v>1607</v>
          </cell>
        </row>
        <row r="100">
          <cell r="B100">
            <v>1608</v>
          </cell>
          <cell r="C100" t="str">
            <v>Phaïm Xuaân Tònh</v>
          </cell>
          <cell r="E100">
            <v>1</v>
          </cell>
          <cell r="H100">
            <v>1608</v>
          </cell>
        </row>
        <row r="101">
          <cell r="B101">
            <v>1609</v>
          </cell>
          <cell r="C101" t="str">
            <v>Nguyễn Ngọc Anh</v>
          </cell>
          <cell r="E101">
            <v>1</v>
          </cell>
          <cell r="H101">
            <v>1609</v>
          </cell>
        </row>
        <row r="102">
          <cell r="B102">
            <v>1611</v>
          </cell>
          <cell r="C102" t="str">
            <v>Ñaëng Xuaân Quyù</v>
          </cell>
          <cell r="E102">
            <v>1</v>
          </cell>
          <cell r="H102">
            <v>1611</v>
          </cell>
        </row>
        <row r="103">
          <cell r="B103">
            <v>1614</v>
          </cell>
          <cell r="C103" t="str">
            <v>Mai Thaønh Haäu</v>
          </cell>
          <cell r="E103">
            <v>1</v>
          </cell>
          <cell r="H103">
            <v>1614</v>
          </cell>
        </row>
        <row r="104">
          <cell r="B104">
            <v>1615</v>
          </cell>
          <cell r="C104" t="str">
            <v>Buøi Thò Hoàng Yeán</v>
          </cell>
          <cell r="E104">
            <v>1</v>
          </cell>
          <cell r="H104">
            <v>1615</v>
          </cell>
        </row>
        <row r="105">
          <cell r="B105">
            <v>1616</v>
          </cell>
          <cell r="C105" t="str">
            <v>Buøi Troïng Hieáu</v>
          </cell>
          <cell r="E105">
            <v>1</v>
          </cell>
          <cell r="H105">
            <v>1616</v>
          </cell>
        </row>
        <row r="106">
          <cell r="B106">
            <v>1618</v>
          </cell>
          <cell r="C106" t="str">
            <v>Trần Thị Anh Thẩm</v>
          </cell>
          <cell r="E106">
            <v>1</v>
          </cell>
          <cell r="H106">
            <v>1618</v>
          </cell>
        </row>
        <row r="107">
          <cell r="B107">
            <v>1619</v>
          </cell>
          <cell r="C107" t="str">
            <v>Dương Thị Hồng Lạc</v>
          </cell>
          <cell r="E107">
            <v>1</v>
          </cell>
          <cell r="H107">
            <v>1619</v>
          </cell>
        </row>
        <row r="108">
          <cell r="B108">
            <v>1626</v>
          </cell>
          <cell r="C108" t="str">
            <v>Nguyễn Hải Thạch</v>
          </cell>
          <cell r="E108">
            <v>1</v>
          </cell>
          <cell r="H108">
            <v>1626</v>
          </cell>
        </row>
        <row r="109">
          <cell r="B109">
            <v>1627</v>
          </cell>
          <cell r="C109" t="str">
            <v>Vũ Tuấn Anh</v>
          </cell>
          <cell r="E109">
            <v>1</v>
          </cell>
          <cell r="H109">
            <v>1627</v>
          </cell>
        </row>
        <row r="110">
          <cell r="B110">
            <v>1628</v>
          </cell>
          <cell r="C110" t="str">
            <v>Mai Caùt Haân</v>
          </cell>
          <cell r="E110">
            <v>1</v>
          </cell>
          <cell r="H110">
            <v>1628</v>
          </cell>
        </row>
        <row r="111">
          <cell r="B111">
            <v>1630</v>
          </cell>
          <cell r="C111" t="str">
            <v>Trònh Xaø Vong</v>
          </cell>
          <cell r="E111">
            <v>1</v>
          </cell>
          <cell r="H111">
            <v>1630</v>
          </cell>
        </row>
        <row r="112">
          <cell r="B112">
            <v>1631</v>
          </cell>
          <cell r="C112" t="str">
            <v>Leâ Minh Hoaøng</v>
          </cell>
          <cell r="E112">
            <v>1</v>
          </cell>
          <cell r="H112">
            <v>1631</v>
          </cell>
        </row>
        <row r="113">
          <cell r="B113">
            <v>1632</v>
          </cell>
          <cell r="C113" t="str">
            <v>Đỗ Thanh Đạt</v>
          </cell>
          <cell r="E113">
            <v>1</v>
          </cell>
          <cell r="H113">
            <v>1632</v>
          </cell>
        </row>
        <row r="114">
          <cell r="B114">
            <v>1634</v>
          </cell>
          <cell r="C114" t="str">
            <v>Nguyeãn Kieân Haûi</v>
          </cell>
          <cell r="E114">
            <v>1</v>
          </cell>
          <cell r="H114">
            <v>1634</v>
          </cell>
        </row>
        <row r="115">
          <cell r="B115">
            <v>1635</v>
          </cell>
          <cell r="C115" t="str">
            <v>Nguyeãn Coâng Haäu</v>
          </cell>
          <cell r="E115">
            <v>1</v>
          </cell>
          <cell r="H115">
            <v>1635</v>
          </cell>
        </row>
        <row r="116">
          <cell r="B116">
            <v>1636</v>
          </cell>
          <cell r="C116" t="str">
            <v>Traàn Xuaân Ñaïi</v>
          </cell>
          <cell r="E116">
            <v>1</v>
          </cell>
          <cell r="H116">
            <v>1636</v>
          </cell>
        </row>
        <row r="117">
          <cell r="B117">
            <v>1638</v>
          </cell>
          <cell r="C117" t="str">
            <v>Leâ Minh Daøu</v>
          </cell>
          <cell r="E117">
            <v>1</v>
          </cell>
          <cell r="H117">
            <v>1638</v>
          </cell>
        </row>
        <row r="118">
          <cell r="B118">
            <v>1639</v>
          </cell>
          <cell r="C118" t="str">
            <v>Phạm Thế Sơn</v>
          </cell>
          <cell r="E118">
            <v>1</v>
          </cell>
          <cell r="H118">
            <v>1639</v>
          </cell>
        </row>
        <row r="119">
          <cell r="B119">
            <v>1640</v>
          </cell>
          <cell r="C119" t="str">
            <v>Nguyeãn Hoaøng Lam</v>
          </cell>
          <cell r="E119">
            <v>1</v>
          </cell>
          <cell r="H119" t="str">
            <v>1640</v>
          </cell>
        </row>
        <row r="120">
          <cell r="B120">
            <v>1641</v>
          </cell>
          <cell r="C120" t="str">
            <v>Nguyễn Hữu Phước</v>
          </cell>
          <cell r="E120">
            <v>1</v>
          </cell>
          <cell r="H120" t="str">
            <v>1641</v>
          </cell>
        </row>
        <row r="121">
          <cell r="B121">
            <v>1642</v>
          </cell>
          <cell r="C121" t="str">
            <v>Nguyễn Thị Mai Thi</v>
          </cell>
          <cell r="E121">
            <v>1</v>
          </cell>
          <cell r="H121" t="str">
            <v>1642</v>
          </cell>
        </row>
        <row r="122">
          <cell r="B122">
            <v>1643</v>
          </cell>
          <cell r="C122" t="str">
            <v>Nguyễn Baù Quaân</v>
          </cell>
          <cell r="E122">
            <v>1</v>
          </cell>
          <cell r="H122" t="str">
            <v>1643</v>
          </cell>
        </row>
        <row r="123">
          <cell r="B123">
            <v>1644</v>
          </cell>
          <cell r="C123" t="str">
            <v>Nguyeãn Phi Vuõ</v>
          </cell>
          <cell r="E123">
            <v>1</v>
          </cell>
          <cell r="H123" t="str">
            <v>1644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59999389629810485"/>
    <pageSetUpPr fitToPage="1"/>
  </sheetPr>
  <dimension ref="A1:G58"/>
  <sheetViews>
    <sheetView zoomScaleNormal="100" workbookViewId="0">
      <selection activeCell="C16" sqref="C16"/>
    </sheetView>
  </sheetViews>
  <sheetFormatPr defaultRowHeight="12.75"/>
  <cols>
    <col min="1" max="1" width="6.7109375" style="58" customWidth="1"/>
    <col min="2" max="2" width="22.28515625" style="62" customWidth="1"/>
    <col min="3" max="3" width="21.28515625" style="1" customWidth="1"/>
    <col min="4" max="4" width="37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64" t="s">
        <v>29</v>
      </c>
    </row>
    <row r="2" spans="1:4" ht="13.5" customHeight="1"/>
    <row r="3" spans="1:4" ht="20.25" customHeight="1">
      <c r="A3" s="82" t="s">
        <v>100</v>
      </c>
      <c r="B3" s="82"/>
      <c r="C3" s="82"/>
      <c r="D3" s="82"/>
    </row>
    <row r="5" spans="1:4" s="40" customFormat="1" ht="38.25" customHeight="1">
      <c r="A5" s="83" t="s">
        <v>1</v>
      </c>
      <c r="B5" s="84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5"/>
      <c r="C6" s="83"/>
      <c r="D6" s="83"/>
    </row>
    <row r="7" spans="1:4" ht="21.75" customHeight="1">
      <c r="A7" s="65">
        <v>1</v>
      </c>
      <c r="B7" s="54" t="s">
        <v>52</v>
      </c>
      <c r="C7" s="43">
        <v>200000</v>
      </c>
      <c r="D7" s="6"/>
    </row>
    <row r="8" spans="1:4" ht="21.75" customHeight="1">
      <c r="A8" s="66">
        <v>2</v>
      </c>
      <c r="B8" s="49" t="s">
        <v>53</v>
      </c>
      <c r="C8" s="43">
        <v>200000</v>
      </c>
      <c r="D8" s="6"/>
    </row>
    <row r="9" spans="1:4" ht="21.75" customHeight="1">
      <c r="A9" s="66">
        <v>3</v>
      </c>
      <c r="B9" s="49" t="s">
        <v>54</v>
      </c>
      <c r="C9" s="43">
        <v>200000</v>
      </c>
      <c r="D9" s="6"/>
    </row>
    <row r="10" spans="1:4" ht="21.75" customHeight="1">
      <c r="A10" s="66">
        <v>4</v>
      </c>
      <c r="B10" s="50" t="s">
        <v>55</v>
      </c>
      <c r="C10" s="43">
        <v>200000</v>
      </c>
      <c r="D10" s="6"/>
    </row>
    <row r="11" spans="1:4" ht="21.75" customHeight="1">
      <c r="A11" s="66">
        <v>5</v>
      </c>
      <c r="B11" s="49" t="s">
        <v>56</v>
      </c>
      <c r="C11" s="43">
        <v>200000</v>
      </c>
      <c r="D11" s="6"/>
    </row>
    <row r="12" spans="1:4" ht="21.75" customHeight="1">
      <c r="A12" s="66">
        <v>6</v>
      </c>
      <c r="B12" s="49" t="s">
        <v>57</v>
      </c>
      <c r="C12" s="43">
        <v>200000</v>
      </c>
      <c r="D12" s="6"/>
    </row>
    <row r="13" spans="1:4" ht="21.75" customHeight="1">
      <c r="A13" s="66">
        <v>7</v>
      </c>
      <c r="B13" s="49" t="s">
        <v>58</v>
      </c>
      <c r="C13" s="43">
        <v>200000</v>
      </c>
      <c r="D13" s="6"/>
    </row>
    <row r="14" spans="1:4" ht="21.75" customHeight="1">
      <c r="A14" s="66">
        <v>8</v>
      </c>
      <c r="B14" s="49" t="s">
        <v>59</v>
      </c>
      <c r="C14" s="43">
        <v>200000</v>
      </c>
      <c r="D14" s="6"/>
    </row>
    <row r="15" spans="1:4" ht="21.75" customHeight="1">
      <c r="A15" s="66">
        <v>9</v>
      </c>
      <c r="B15" s="49" t="s">
        <v>60</v>
      </c>
      <c r="C15" s="43">
        <v>200000</v>
      </c>
      <c r="D15" s="6"/>
    </row>
    <row r="16" spans="1:4" ht="21.75" customHeight="1">
      <c r="A16" s="66">
        <v>10</v>
      </c>
      <c r="B16" s="49" t="s">
        <v>61</v>
      </c>
      <c r="C16" s="43">
        <v>200000</v>
      </c>
      <c r="D16" s="6"/>
    </row>
    <row r="17" spans="1:4" ht="21.75" customHeight="1">
      <c r="A17" s="66">
        <v>11</v>
      </c>
      <c r="B17" s="49" t="s">
        <v>64</v>
      </c>
      <c r="C17" s="43">
        <v>200000</v>
      </c>
      <c r="D17" s="6"/>
    </row>
    <row r="18" spans="1:4" ht="21.75" customHeight="1">
      <c r="A18" s="66">
        <v>12</v>
      </c>
      <c r="B18" s="49" t="s">
        <v>63</v>
      </c>
      <c r="C18" s="43">
        <v>200000</v>
      </c>
      <c r="D18" s="6"/>
    </row>
    <row r="19" spans="1:4" ht="21.75" customHeight="1">
      <c r="A19" s="66">
        <v>13</v>
      </c>
      <c r="B19" s="50" t="s">
        <v>65</v>
      </c>
      <c r="C19" s="43">
        <v>200000</v>
      </c>
      <c r="D19" s="6"/>
    </row>
    <row r="20" spans="1:4" ht="21.75" customHeight="1">
      <c r="A20" s="66">
        <v>14</v>
      </c>
      <c r="B20" s="50" t="s">
        <v>66</v>
      </c>
      <c r="C20" s="43">
        <v>200000</v>
      </c>
      <c r="D20" s="6"/>
    </row>
    <row r="21" spans="1:4" ht="21.75" customHeight="1">
      <c r="A21" s="66">
        <v>15</v>
      </c>
      <c r="B21" s="51" t="s">
        <v>67</v>
      </c>
      <c r="C21" s="43">
        <v>200000</v>
      </c>
      <c r="D21" s="6"/>
    </row>
    <row r="22" spans="1:4" ht="21.75" customHeight="1">
      <c r="A22" s="66">
        <v>16</v>
      </c>
      <c r="B22" s="52" t="s">
        <v>68</v>
      </c>
      <c r="C22" s="43">
        <v>200000</v>
      </c>
      <c r="D22" s="6"/>
    </row>
    <row r="23" spans="1:4" ht="21.75" customHeight="1">
      <c r="A23" s="66">
        <v>17</v>
      </c>
      <c r="B23" s="49" t="s">
        <v>62</v>
      </c>
      <c r="C23" s="43">
        <v>200000</v>
      </c>
      <c r="D23" s="6"/>
    </row>
    <row r="24" spans="1:4" ht="21.75" customHeight="1">
      <c r="A24" s="66">
        <v>18</v>
      </c>
      <c r="B24" s="51" t="s">
        <v>96</v>
      </c>
      <c r="C24" s="43">
        <v>200000</v>
      </c>
      <c r="D24" s="6"/>
    </row>
    <row r="25" spans="1:4" ht="21.75" customHeight="1">
      <c r="A25" s="66">
        <v>19</v>
      </c>
      <c r="B25" s="52" t="s">
        <v>8</v>
      </c>
      <c r="C25" s="43">
        <v>200000</v>
      </c>
      <c r="D25" s="6"/>
    </row>
    <row r="26" spans="1:4" ht="21.75" customHeight="1">
      <c r="A26" s="66">
        <v>20</v>
      </c>
      <c r="B26" s="52" t="s">
        <v>69</v>
      </c>
      <c r="C26" s="43">
        <v>200000</v>
      </c>
      <c r="D26" s="6"/>
    </row>
    <row r="27" spans="1:4" ht="21.75" customHeight="1">
      <c r="A27" s="66">
        <v>21</v>
      </c>
      <c r="B27" s="52" t="s">
        <v>70</v>
      </c>
      <c r="C27" s="43">
        <v>200000</v>
      </c>
      <c r="D27" s="6"/>
    </row>
    <row r="28" spans="1:4" ht="21.75" customHeight="1">
      <c r="A28" s="66">
        <v>22</v>
      </c>
      <c r="B28" s="52" t="s">
        <v>42</v>
      </c>
      <c r="C28" s="43">
        <v>200000</v>
      </c>
      <c r="D28" s="6"/>
    </row>
    <row r="29" spans="1:4" ht="21.75" customHeight="1">
      <c r="A29" s="66">
        <v>23</v>
      </c>
      <c r="B29" s="53" t="s">
        <v>71</v>
      </c>
      <c r="C29" s="43">
        <v>200000</v>
      </c>
      <c r="D29" s="6"/>
    </row>
    <row r="30" spans="1:4" ht="21.75" customHeight="1">
      <c r="A30" s="66">
        <v>24</v>
      </c>
      <c r="B30" s="53" t="s">
        <v>72</v>
      </c>
      <c r="C30" s="43">
        <v>200000</v>
      </c>
      <c r="D30" s="6"/>
    </row>
    <row r="31" spans="1:4" ht="21.75" customHeight="1">
      <c r="A31" s="66">
        <v>25</v>
      </c>
      <c r="B31" s="53" t="s">
        <v>73</v>
      </c>
      <c r="C31" s="43">
        <v>200000</v>
      </c>
      <c r="D31" s="6"/>
    </row>
    <row r="32" spans="1:4" ht="21.75" customHeight="1">
      <c r="A32" s="66">
        <v>26</v>
      </c>
      <c r="B32" s="53" t="s">
        <v>74</v>
      </c>
      <c r="C32" s="43">
        <v>200000</v>
      </c>
      <c r="D32" s="6"/>
    </row>
    <row r="33" spans="1:4" ht="21.75" customHeight="1">
      <c r="A33" s="66">
        <v>27</v>
      </c>
      <c r="B33" s="53" t="s">
        <v>75</v>
      </c>
      <c r="C33" s="43">
        <v>200000</v>
      </c>
      <c r="D33" s="6"/>
    </row>
    <row r="34" spans="1:4" ht="21.75" customHeight="1">
      <c r="A34" s="66">
        <v>28</v>
      </c>
      <c r="B34" s="53" t="s">
        <v>77</v>
      </c>
      <c r="C34" s="43">
        <v>200000</v>
      </c>
      <c r="D34" s="6"/>
    </row>
    <row r="35" spans="1:4" ht="21.75" customHeight="1">
      <c r="A35" s="66">
        <v>29</v>
      </c>
      <c r="B35" s="53" t="s">
        <v>78</v>
      </c>
      <c r="C35" s="43">
        <v>200000</v>
      </c>
      <c r="D35" s="6"/>
    </row>
    <row r="36" spans="1:4" ht="21.75" customHeight="1">
      <c r="A36" s="66">
        <v>30</v>
      </c>
      <c r="B36" s="52" t="s">
        <v>97</v>
      </c>
      <c r="C36" s="43">
        <v>200000</v>
      </c>
      <c r="D36" s="6"/>
    </row>
    <row r="37" spans="1:4" ht="21.75" customHeight="1">
      <c r="A37" s="66">
        <v>31</v>
      </c>
      <c r="B37" s="53" t="s">
        <v>106</v>
      </c>
      <c r="C37" s="43">
        <v>200000</v>
      </c>
      <c r="D37" s="6"/>
    </row>
    <row r="38" spans="1:4" ht="21.75" customHeight="1">
      <c r="A38" s="66">
        <v>32</v>
      </c>
      <c r="B38" s="53" t="s">
        <v>138</v>
      </c>
      <c r="C38" s="43">
        <v>200000</v>
      </c>
      <c r="D38" s="6"/>
    </row>
    <row r="39" spans="1:4" ht="21.75" customHeight="1">
      <c r="A39" s="66">
        <v>33</v>
      </c>
      <c r="B39" s="53" t="s">
        <v>81</v>
      </c>
      <c r="C39" s="43">
        <v>200000</v>
      </c>
      <c r="D39" s="6"/>
    </row>
    <row r="40" spans="1:4" ht="21.75" customHeight="1">
      <c r="A40" s="66">
        <v>34</v>
      </c>
      <c r="B40" s="53" t="s">
        <v>80</v>
      </c>
      <c r="C40" s="43">
        <v>200000</v>
      </c>
      <c r="D40" s="6"/>
    </row>
    <row r="41" spans="1:4" ht="21.75" customHeight="1">
      <c r="A41" s="66">
        <v>35</v>
      </c>
      <c r="B41" s="52" t="s">
        <v>82</v>
      </c>
      <c r="C41" s="43">
        <v>200000</v>
      </c>
      <c r="D41" s="6"/>
    </row>
    <row r="42" spans="1:4" ht="21.75" customHeight="1">
      <c r="A42" s="66">
        <v>36</v>
      </c>
      <c r="B42" s="52" t="s">
        <v>83</v>
      </c>
      <c r="C42" s="43">
        <v>200000</v>
      </c>
      <c r="D42" s="6"/>
    </row>
    <row r="43" spans="1:4" ht="21.75" customHeight="1">
      <c r="A43" s="66">
        <v>37</v>
      </c>
      <c r="B43" s="52" t="s">
        <v>84</v>
      </c>
      <c r="C43" s="43">
        <v>200000</v>
      </c>
      <c r="D43" s="6"/>
    </row>
    <row r="44" spans="1:4" ht="21.75" customHeight="1">
      <c r="A44" s="66">
        <v>38</v>
      </c>
      <c r="B44" s="52" t="s">
        <v>85</v>
      </c>
      <c r="C44" s="43">
        <v>200000</v>
      </c>
      <c r="D44" s="6"/>
    </row>
    <row r="45" spans="1:4" ht="21.75" customHeight="1">
      <c r="A45" s="66">
        <v>39</v>
      </c>
      <c r="B45" s="52" t="s">
        <v>98</v>
      </c>
      <c r="C45" s="43">
        <v>200000</v>
      </c>
      <c r="D45" s="6"/>
    </row>
    <row r="46" spans="1:4" ht="18" customHeight="1">
      <c r="A46" s="67"/>
      <c r="B46" s="60"/>
      <c r="C46" s="11"/>
      <c r="D46" s="12"/>
    </row>
    <row r="47" spans="1:4" s="40" customFormat="1" ht="17.25">
      <c r="A47" s="68"/>
      <c r="B47" s="63" t="s">
        <v>9</v>
      </c>
      <c r="C47" s="15">
        <f>SUM(C7:C46)</f>
        <v>7800000</v>
      </c>
      <c r="D47" s="16"/>
    </row>
    <row r="48" spans="1:4">
      <c r="A48" s="69"/>
    </row>
    <row r="49" spans="1:7">
      <c r="A49" s="69"/>
    </row>
    <row r="50" spans="1:7">
      <c r="A50" s="69"/>
      <c r="C50" s="40"/>
      <c r="D50" s="44" t="s">
        <v>101</v>
      </c>
    </row>
    <row r="51" spans="1:7">
      <c r="A51" s="69"/>
      <c r="C51"/>
      <c r="D51" s="40" t="s">
        <v>32</v>
      </c>
    </row>
    <row r="52" spans="1:7">
      <c r="A52" s="69"/>
      <c r="B52" s="61" t="s">
        <v>10</v>
      </c>
      <c r="C52"/>
      <c r="D52" s="40" t="s">
        <v>33</v>
      </c>
    </row>
    <row r="53" spans="1:7">
      <c r="A53" s="69"/>
      <c r="C53"/>
      <c r="D53" s="45"/>
    </row>
    <row r="54" spans="1:7">
      <c r="A54" s="69"/>
      <c r="C54"/>
      <c r="D54" s="45"/>
    </row>
    <row r="55" spans="1:7">
      <c r="C55" s="46"/>
      <c r="D55" s="45"/>
      <c r="G55" s="46"/>
    </row>
    <row r="56" spans="1:7">
      <c r="D56" s="46"/>
    </row>
    <row r="57" spans="1:7">
      <c r="B57" s="40" t="s">
        <v>51</v>
      </c>
      <c r="D57" s="40" t="s">
        <v>99</v>
      </c>
    </row>
    <row r="58" spans="1:7">
      <c r="F58" s="19"/>
    </row>
  </sheetData>
  <mergeCells count="5">
    <mergeCell ref="A3:D3"/>
    <mergeCell ref="A5:A6"/>
    <mergeCell ref="B5:B6"/>
    <mergeCell ref="C5:C6"/>
    <mergeCell ref="D5:D6"/>
  </mergeCells>
  <pageMargins left="0.70866141732283472" right="0.70866141732283472" top="0.74803149606299213" bottom="0.74803149606299213" header="0.31496062992125984" footer="0.31496062992125984"/>
  <pageSetup paperSize="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C7170-DC36-443E-B4BB-76CB82ACE7C9}">
  <sheetPr>
    <tabColor theme="4" tint="0.59999389629810485"/>
    <pageSetUpPr fitToPage="1"/>
  </sheetPr>
  <dimension ref="A1:G59"/>
  <sheetViews>
    <sheetView workbookViewId="0">
      <selection activeCell="D17" sqref="D17"/>
    </sheetView>
  </sheetViews>
  <sheetFormatPr defaultRowHeight="12.75"/>
  <cols>
    <col min="1" max="1" width="6.7109375" customWidth="1"/>
    <col min="2" max="2" width="22.28515625" customWidth="1"/>
    <col min="3" max="3" width="21.28515625" style="1" customWidth="1"/>
    <col min="4" max="4" width="37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42" t="s">
        <v>29</v>
      </c>
    </row>
    <row r="2" spans="1:4" ht="13.5" customHeight="1"/>
    <row r="3" spans="1:4" ht="20.25" customHeight="1">
      <c r="A3" s="82" t="s">
        <v>127</v>
      </c>
      <c r="B3" s="82"/>
      <c r="C3" s="82"/>
      <c r="D3" s="82"/>
    </row>
    <row r="5" spans="1:4" s="40" customFormat="1" ht="38.25" customHeight="1">
      <c r="A5" s="83" t="s">
        <v>1</v>
      </c>
      <c r="B5" s="83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3"/>
      <c r="C6" s="83"/>
      <c r="D6" s="83"/>
    </row>
    <row r="7" spans="1:4" ht="21.75" customHeight="1">
      <c r="A7" s="65">
        <v>1</v>
      </c>
      <c r="B7" s="54" t="s">
        <v>52</v>
      </c>
      <c r="C7" s="43">
        <v>200000</v>
      </c>
      <c r="D7" s="6"/>
    </row>
    <row r="8" spans="1:4" ht="21.75" customHeight="1">
      <c r="A8" s="66">
        <v>2</v>
      </c>
      <c r="B8" s="49" t="s">
        <v>53</v>
      </c>
      <c r="C8" s="43">
        <v>200000</v>
      </c>
      <c r="D8" s="6"/>
    </row>
    <row r="9" spans="1:4" ht="21.75" customHeight="1">
      <c r="A9" s="66">
        <v>3</v>
      </c>
      <c r="B9" s="49" t="s">
        <v>54</v>
      </c>
      <c r="C9" s="43">
        <v>200000</v>
      </c>
      <c r="D9" s="6"/>
    </row>
    <row r="10" spans="1:4" ht="21.75" customHeight="1">
      <c r="A10" s="66">
        <v>4</v>
      </c>
      <c r="B10" s="50" t="s">
        <v>55</v>
      </c>
      <c r="C10" s="43">
        <v>200000</v>
      </c>
      <c r="D10" s="6"/>
    </row>
    <row r="11" spans="1:4" ht="21.75" customHeight="1">
      <c r="A11" s="66">
        <v>5</v>
      </c>
      <c r="B11" s="49" t="s">
        <v>56</v>
      </c>
      <c r="C11" s="43">
        <v>200000</v>
      </c>
      <c r="D11" s="6"/>
    </row>
    <row r="12" spans="1:4" ht="21.75" customHeight="1">
      <c r="A12" s="66">
        <v>6</v>
      </c>
      <c r="B12" s="49" t="s">
        <v>57</v>
      </c>
      <c r="C12" s="43">
        <v>200000</v>
      </c>
      <c r="D12" s="6"/>
    </row>
    <row r="13" spans="1:4" ht="21.75" customHeight="1">
      <c r="A13" s="66">
        <v>7</v>
      </c>
      <c r="B13" s="49" t="s">
        <v>58</v>
      </c>
      <c r="C13" s="43">
        <v>200000</v>
      </c>
      <c r="D13" s="6"/>
    </row>
    <row r="14" spans="1:4" ht="21.75" customHeight="1">
      <c r="A14" s="66">
        <v>8</v>
      </c>
      <c r="B14" s="49" t="s">
        <v>59</v>
      </c>
      <c r="C14" s="43">
        <v>200000</v>
      </c>
      <c r="D14" s="6"/>
    </row>
    <row r="15" spans="1:4" ht="21.75" customHeight="1">
      <c r="A15" s="66">
        <v>9</v>
      </c>
      <c r="B15" s="49" t="s">
        <v>60</v>
      </c>
      <c r="C15" s="43">
        <v>200000</v>
      </c>
      <c r="D15" s="6"/>
    </row>
    <row r="16" spans="1:4" ht="21.75" customHeight="1">
      <c r="A16" s="66">
        <v>10</v>
      </c>
      <c r="B16" s="49" t="s">
        <v>61</v>
      </c>
      <c r="C16" s="43">
        <v>200000</v>
      </c>
      <c r="D16" s="6"/>
    </row>
    <row r="17" spans="1:4" ht="21.75" customHeight="1">
      <c r="A17" s="66">
        <v>11</v>
      </c>
      <c r="B17" s="49" t="s">
        <v>64</v>
      </c>
      <c r="C17" s="43">
        <v>200000</v>
      </c>
      <c r="D17" s="6"/>
    </row>
    <row r="18" spans="1:4" ht="21.75" customHeight="1">
      <c r="A18" s="66">
        <v>12</v>
      </c>
      <c r="B18" s="49" t="s">
        <v>63</v>
      </c>
      <c r="C18" s="43">
        <v>200000</v>
      </c>
      <c r="D18" s="6"/>
    </row>
    <row r="19" spans="1:4" ht="21.75" customHeight="1">
      <c r="A19" s="66">
        <v>13</v>
      </c>
      <c r="B19" s="50" t="s">
        <v>65</v>
      </c>
      <c r="C19" s="43">
        <v>200000</v>
      </c>
      <c r="D19" s="6"/>
    </row>
    <row r="20" spans="1:4" ht="21.75" customHeight="1">
      <c r="A20" s="66">
        <v>14</v>
      </c>
      <c r="B20" s="50" t="s">
        <v>66</v>
      </c>
      <c r="C20" s="43">
        <v>200000</v>
      </c>
      <c r="D20" s="6"/>
    </row>
    <row r="21" spans="1:4" ht="21.75" customHeight="1">
      <c r="A21" s="66">
        <v>15</v>
      </c>
      <c r="B21" s="51" t="s">
        <v>67</v>
      </c>
      <c r="C21" s="43">
        <v>200000</v>
      </c>
      <c r="D21" s="6"/>
    </row>
    <row r="22" spans="1:4" ht="21.75" customHeight="1">
      <c r="A22" s="66">
        <v>16</v>
      </c>
      <c r="B22" s="52" t="s">
        <v>68</v>
      </c>
      <c r="C22" s="43">
        <v>200000</v>
      </c>
      <c r="D22" s="6"/>
    </row>
    <row r="23" spans="1:4" ht="21.75" customHeight="1">
      <c r="A23" s="66">
        <v>17</v>
      </c>
      <c r="B23" s="52" t="s">
        <v>117</v>
      </c>
      <c r="C23" s="43">
        <v>200000</v>
      </c>
      <c r="D23" s="6"/>
    </row>
    <row r="24" spans="1:4" ht="21.75" customHeight="1">
      <c r="A24" s="66">
        <v>18</v>
      </c>
      <c r="B24" s="49" t="s">
        <v>62</v>
      </c>
      <c r="C24" s="43">
        <v>200000</v>
      </c>
      <c r="D24" s="6"/>
    </row>
    <row r="25" spans="1:4" ht="21.75" customHeight="1">
      <c r="A25" s="66">
        <v>19</v>
      </c>
      <c r="B25" s="52" t="s">
        <v>8</v>
      </c>
      <c r="C25" s="43">
        <v>200000</v>
      </c>
      <c r="D25" s="6"/>
    </row>
    <row r="26" spans="1:4" ht="21.75" customHeight="1">
      <c r="A26" s="66">
        <v>20</v>
      </c>
      <c r="B26" s="52" t="s">
        <v>69</v>
      </c>
      <c r="C26" s="43">
        <v>200000</v>
      </c>
      <c r="D26" s="6"/>
    </row>
    <row r="27" spans="1:4" ht="21.75" customHeight="1">
      <c r="A27" s="66">
        <v>21</v>
      </c>
      <c r="B27" s="52" t="s">
        <v>70</v>
      </c>
      <c r="C27" s="43">
        <v>200000</v>
      </c>
      <c r="D27" s="6"/>
    </row>
    <row r="28" spans="1:4" ht="21.75" customHeight="1">
      <c r="A28" s="66">
        <v>22</v>
      </c>
      <c r="B28" s="52" t="s">
        <v>42</v>
      </c>
      <c r="C28" s="43">
        <v>200000</v>
      </c>
      <c r="D28" s="6"/>
    </row>
    <row r="29" spans="1:4" ht="21.75" customHeight="1">
      <c r="A29" s="66">
        <v>23</v>
      </c>
      <c r="B29" s="53" t="s">
        <v>71</v>
      </c>
      <c r="C29" s="43">
        <v>200000</v>
      </c>
      <c r="D29" s="6"/>
    </row>
    <row r="30" spans="1:4" ht="21.75" customHeight="1">
      <c r="A30" s="66">
        <v>24</v>
      </c>
      <c r="B30" s="53" t="s">
        <v>72</v>
      </c>
      <c r="C30" s="43">
        <v>200000</v>
      </c>
      <c r="D30" s="6"/>
    </row>
    <row r="31" spans="1:4" ht="21.75" customHeight="1">
      <c r="A31" s="66">
        <v>25</v>
      </c>
      <c r="B31" s="53" t="s">
        <v>73</v>
      </c>
      <c r="C31" s="43">
        <v>200000</v>
      </c>
      <c r="D31" s="6"/>
    </row>
    <row r="32" spans="1:4" ht="21.75" customHeight="1">
      <c r="A32" s="66">
        <v>26</v>
      </c>
      <c r="B32" s="53" t="s">
        <v>74</v>
      </c>
      <c r="C32" s="43">
        <v>200000</v>
      </c>
      <c r="D32" s="6"/>
    </row>
    <row r="33" spans="1:4" ht="21.75" customHeight="1">
      <c r="A33" s="66">
        <v>27</v>
      </c>
      <c r="B33" s="53" t="s">
        <v>75</v>
      </c>
      <c r="C33" s="43">
        <v>200000</v>
      </c>
      <c r="D33" s="6"/>
    </row>
    <row r="34" spans="1:4" ht="21.75" customHeight="1">
      <c r="A34" s="66">
        <v>28</v>
      </c>
      <c r="B34" s="53" t="s">
        <v>77</v>
      </c>
      <c r="C34" s="43">
        <v>200000</v>
      </c>
      <c r="D34" s="6"/>
    </row>
    <row r="35" spans="1:4" ht="21.75" customHeight="1">
      <c r="A35" s="66">
        <v>29</v>
      </c>
      <c r="B35" s="53" t="s">
        <v>78</v>
      </c>
      <c r="C35" s="43">
        <v>200000</v>
      </c>
      <c r="D35" s="6"/>
    </row>
    <row r="36" spans="1:4" ht="21.75" customHeight="1">
      <c r="A36" s="66">
        <v>30</v>
      </c>
      <c r="B36" s="52" t="s">
        <v>97</v>
      </c>
      <c r="C36" s="43">
        <v>200000</v>
      </c>
      <c r="D36" s="6"/>
    </row>
    <row r="37" spans="1:4" ht="21.75" customHeight="1">
      <c r="A37" s="66">
        <v>31</v>
      </c>
      <c r="B37" s="53" t="s">
        <v>138</v>
      </c>
      <c r="C37" s="43">
        <v>200000</v>
      </c>
      <c r="D37" s="6"/>
    </row>
    <row r="38" spans="1:4" ht="21.75" customHeight="1">
      <c r="A38" s="66">
        <v>32</v>
      </c>
      <c r="B38" s="53" t="s">
        <v>81</v>
      </c>
      <c r="C38" s="43">
        <v>200000</v>
      </c>
      <c r="D38" s="6"/>
    </row>
    <row r="39" spans="1:4" ht="21.75" customHeight="1">
      <c r="A39" s="66">
        <v>33</v>
      </c>
      <c r="B39" s="53" t="s">
        <v>79</v>
      </c>
      <c r="C39" s="43">
        <v>200000</v>
      </c>
      <c r="D39" s="6"/>
    </row>
    <row r="40" spans="1:4" ht="21.75" customHeight="1">
      <c r="A40" s="66">
        <v>34</v>
      </c>
      <c r="B40" s="53" t="s">
        <v>80</v>
      </c>
      <c r="C40" s="43">
        <v>200000</v>
      </c>
      <c r="D40" s="6"/>
    </row>
    <row r="41" spans="1:4" ht="21.75" customHeight="1">
      <c r="A41" s="66">
        <v>35</v>
      </c>
      <c r="B41" s="52" t="s">
        <v>82</v>
      </c>
      <c r="C41" s="43">
        <v>200000</v>
      </c>
      <c r="D41" s="6"/>
    </row>
    <row r="42" spans="1:4" ht="21.75" customHeight="1">
      <c r="A42" s="66">
        <v>36</v>
      </c>
      <c r="B42" s="52" t="s">
        <v>83</v>
      </c>
      <c r="C42" s="43">
        <v>200000</v>
      </c>
      <c r="D42" s="6"/>
    </row>
    <row r="43" spans="1:4" ht="21.75" customHeight="1">
      <c r="A43" s="66">
        <v>37</v>
      </c>
      <c r="B43" s="52" t="s">
        <v>84</v>
      </c>
      <c r="C43" s="43">
        <v>200000</v>
      </c>
      <c r="D43" s="6"/>
    </row>
    <row r="44" spans="1:4" ht="21.75" customHeight="1">
      <c r="A44" s="66">
        <v>38</v>
      </c>
      <c r="B44" s="52" t="s">
        <v>85</v>
      </c>
      <c r="C44" s="43">
        <v>200000</v>
      </c>
      <c r="D44" s="6"/>
    </row>
    <row r="45" spans="1:4" ht="21.75" customHeight="1">
      <c r="A45" s="66">
        <v>39</v>
      </c>
      <c r="B45" s="52" t="s">
        <v>98</v>
      </c>
      <c r="C45" s="43">
        <v>200000</v>
      </c>
      <c r="D45" s="6"/>
    </row>
    <row r="46" spans="1:4" ht="21.75" customHeight="1">
      <c r="A46" s="66">
        <v>40</v>
      </c>
      <c r="B46" s="52" t="s">
        <v>126</v>
      </c>
      <c r="C46" s="43">
        <v>200000</v>
      </c>
      <c r="D46" s="6"/>
    </row>
    <row r="47" spans="1:4" ht="18" customHeight="1">
      <c r="A47" s="67"/>
      <c r="B47" s="60"/>
      <c r="C47" s="11"/>
      <c r="D47" s="12"/>
    </row>
    <row r="48" spans="1:4" s="40" customFormat="1" ht="17.25">
      <c r="A48" s="68"/>
      <c r="B48" s="63" t="s">
        <v>9</v>
      </c>
      <c r="C48" s="15">
        <f>SUM(C7:C47)</f>
        <v>8000000</v>
      </c>
      <c r="D48" s="16"/>
    </row>
    <row r="49" spans="1:7">
      <c r="A49" s="18"/>
    </row>
    <row r="50" spans="1:7">
      <c r="A50" s="18"/>
    </row>
    <row r="51" spans="1:7">
      <c r="A51" s="18"/>
      <c r="C51" s="40"/>
      <c r="D51" s="44" t="s">
        <v>103</v>
      </c>
    </row>
    <row r="52" spans="1:7">
      <c r="A52" s="18"/>
      <c r="C52"/>
      <c r="D52" s="40" t="s">
        <v>32</v>
      </c>
    </row>
    <row r="53" spans="1:7">
      <c r="A53" s="18"/>
      <c r="B53" s="40" t="s">
        <v>10</v>
      </c>
      <c r="C53"/>
      <c r="D53" s="40" t="s">
        <v>33</v>
      </c>
    </row>
    <row r="54" spans="1:7">
      <c r="A54" s="18"/>
      <c r="C54"/>
      <c r="D54" s="45"/>
    </row>
    <row r="55" spans="1:7">
      <c r="A55" s="18"/>
      <c r="C55"/>
      <c r="D55" s="45"/>
    </row>
    <row r="56" spans="1:7">
      <c r="C56" s="46"/>
      <c r="D56" s="45"/>
      <c r="G56" s="46"/>
    </row>
    <row r="57" spans="1:7">
      <c r="D57" s="46"/>
    </row>
    <row r="58" spans="1:7">
      <c r="B58" s="41" t="s">
        <v>51</v>
      </c>
      <c r="D58" s="41" t="s">
        <v>11</v>
      </c>
    </row>
    <row r="59" spans="1:7">
      <c r="F59" s="19"/>
    </row>
  </sheetData>
  <mergeCells count="5">
    <mergeCell ref="A3:D3"/>
    <mergeCell ref="A5:A6"/>
    <mergeCell ref="B5:B6"/>
    <mergeCell ref="C5:C6"/>
    <mergeCell ref="D5:D6"/>
  </mergeCells>
  <pageMargins left="0.56999999999999995" right="0.55000000000000004" top="0.5" bottom="0.48" header="0.3" footer="0.3"/>
  <pageSetup paperSize="9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59999389629810485"/>
    <pageSetUpPr fitToPage="1"/>
  </sheetPr>
  <dimension ref="A1:G39"/>
  <sheetViews>
    <sheetView topLeftCell="A6" workbookViewId="0">
      <selection activeCell="C29" sqref="C29"/>
    </sheetView>
  </sheetViews>
  <sheetFormatPr defaultRowHeight="12.75"/>
  <cols>
    <col min="1" max="1" width="6.7109375" customWidth="1"/>
    <col min="2" max="2" width="23.140625" customWidth="1"/>
    <col min="3" max="3" width="21.28515625" style="1" customWidth="1"/>
    <col min="4" max="4" width="37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42" t="s">
        <v>29</v>
      </c>
    </row>
    <row r="2" spans="1:4" ht="13.5" customHeight="1"/>
    <row r="3" spans="1:4" ht="20.25" customHeight="1">
      <c r="A3" s="82" t="s">
        <v>158</v>
      </c>
      <c r="B3" s="82"/>
      <c r="C3" s="82"/>
      <c r="D3" s="82"/>
    </row>
    <row r="5" spans="1:4" s="40" customFormat="1" ht="38.25" customHeight="1">
      <c r="A5" s="83" t="s">
        <v>1</v>
      </c>
      <c r="B5" s="83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3"/>
      <c r="C6" s="83"/>
      <c r="D6" s="83"/>
    </row>
    <row r="7" spans="1:4" ht="21.75" customHeight="1">
      <c r="A7" s="65">
        <v>1</v>
      </c>
      <c r="B7" s="59" t="s">
        <v>54</v>
      </c>
      <c r="C7" s="43">
        <v>200000</v>
      </c>
      <c r="D7" s="6"/>
    </row>
    <row r="8" spans="1:4" ht="21.75" customHeight="1">
      <c r="A8" s="66">
        <v>2</v>
      </c>
      <c r="B8" s="59" t="s">
        <v>61</v>
      </c>
      <c r="C8" s="43">
        <v>200000</v>
      </c>
      <c r="D8" s="6"/>
    </row>
    <row r="9" spans="1:4" ht="21.75" customHeight="1">
      <c r="A9" s="65">
        <v>3</v>
      </c>
      <c r="B9" s="59" t="s">
        <v>66</v>
      </c>
      <c r="C9" s="43">
        <v>200000</v>
      </c>
      <c r="D9" s="6"/>
    </row>
    <row r="10" spans="1:4" ht="21.75" customHeight="1">
      <c r="A10" s="66">
        <v>4</v>
      </c>
      <c r="B10" s="59" t="s">
        <v>67</v>
      </c>
      <c r="C10" s="43">
        <v>200000</v>
      </c>
      <c r="D10" s="6"/>
    </row>
    <row r="11" spans="1:4" ht="21.75" customHeight="1">
      <c r="A11" s="65">
        <v>5</v>
      </c>
      <c r="B11" s="59" t="s">
        <v>62</v>
      </c>
      <c r="C11" s="43">
        <v>200000</v>
      </c>
      <c r="D11" s="6"/>
    </row>
    <row r="12" spans="1:4" ht="21.75" customHeight="1">
      <c r="A12" s="65">
        <v>6</v>
      </c>
      <c r="B12" s="59" t="s">
        <v>8</v>
      </c>
      <c r="C12" s="43">
        <v>200000</v>
      </c>
      <c r="D12" s="6"/>
    </row>
    <row r="13" spans="1:4" ht="21.75" customHeight="1">
      <c r="A13" s="66">
        <v>7</v>
      </c>
      <c r="B13" s="59" t="s">
        <v>69</v>
      </c>
      <c r="C13" s="43">
        <v>200000</v>
      </c>
      <c r="D13" s="6"/>
    </row>
    <row r="14" spans="1:4" ht="21.75" customHeight="1">
      <c r="A14" s="65">
        <v>8</v>
      </c>
      <c r="B14" s="59" t="s">
        <v>71</v>
      </c>
      <c r="C14" s="43">
        <v>200000</v>
      </c>
      <c r="D14" s="6"/>
    </row>
    <row r="15" spans="1:4" ht="21.75" customHeight="1">
      <c r="A15" s="65">
        <v>9</v>
      </c>
      <c r="B15" s="59" t="s">
        <v>73</v>
      </c>
      <c r="C15" s="43">
        <v>200000</v>
      </c>
      <c r="D15" s="6"/>
    </row>
    <row r="16" spans="1:4" ht="21.75" customHeight="1">
      <c r="A16" s="66">
        <v>10</v>
      </c>
      <c r="B16" s="59" t="s">
        <v>78</v>
      </c>
      <c r="C16" s="43">
        <v>200000</v>
      </c>
      <c r="D16" s="6"/>
    </row>
    <row r="17" spans="1:4" ht="21.75" customHeight="1">
      <c r="A17" s="65">
        <v>11</v>
      </c>
      <c r="B17" s="53" t="s">
        <v>76</v>
      </c>
      <c r="C17" s="43">
        <v>200000</v>
      </c>
      <c r="D17" s="6"/>
    </row>
    <row r="18" spans="1:4" ht="21.75" customHeight="1">
      <c r="A18" s="65">
        <v>12</v>
      </c>
      <c r="B18" s="59" t="s">
        <v>81</v>
      </c>
      <c r="C18" s="43">
        <v>200000</v>
      </c>
      <c r="D18" s="6"/>
    </row>
    <row r="19" spans="1:4" ht="21.75" customHeight="1">
      <c r="A19" s="66">
        <v>13</v>
      </c>
      <c r="B19" s="59" t="s">
        <v>83</v>
      </c>
      <c r="C19" s="43">
        <v>200000</v>
      </c>
      <c r="D19" s="6"/>
    </row>
    <row r="20" spans="1:4" ht="21.75" customHeight="1">
      <c r="A20" s="65">
        <v>14</v>
      </c>
      <c r="B20" s="59" t="s">
        <v>84</v>
      </c>
      <c r="C20" s="43">
        <v>200000</v>
      </c>
      <c r="D20" s="6"/>
    </row>
    <row r="21" spans="1:4" ht="21.75" customHeight="1">
      <c r="A21" s="65">
        <v>15</v>
      </c>
      <c r="B21" s="59" t="s">
        <v>98</v>
      </c>
      <c r="C21" s="43">
        <v>200000</v>
      </c>
      <c r="D21" s="6"/>
    </row>
    <row r="22" spans="1:4" ht="21.75" customHeight="1">
      <c r="A22" s="66">
        <v>16</v>
      </c>
      <c r="B22" s="59" t="s">
        <v>126</v>
      </c>
      <c r="C22" s="43">
        <v>200000</v>
      </c>
      <c r="D22" s="6"/>
    </row>
    <row r="23" spans="1:4" ht="21.75" customHeight="1">
      <c r="A23" s="65">
        <v>17</v>
      </c>
      <c r="B23" s="59" t="s">
        <v>140</v>
      </c>
      <c r="C23" s="43">
        <v>200000</v>
      </c>
      <c r="D23" s="6"/>
    </row>
    <row r="24" spans="1:4" ht="21.75" customHeight="1">
      <c r="A24" s="65">
        <v>18</v>
      </c>
      <c r="B24" s="59" t="s">
        <v>143</v>
      </c>
      <c r="C24" s="43">
        <v>200000</v>
      </c>
      <c r="D24" s="6"/>
    </row>
    <row r="25" spans="1:4" ht="21.75" customHeight="1">
      <c r="A25" s="66">
        <v>19</v>
      </c>
      <c r="B25" s="59" t="s">
        <v>77</v>
      </c>
      <c r="C25" s="43">
        <v>200000</v>
      </c>
      <c r="D25" s="6"/>
    </row>
    <row r="26" spans="1:4" ht="21.75" customHeight="1">
      <c r="A26" s="65">
        <v>20</v>
      </c>
      <c r="B26" s="59" t="s">
        <v>86</v>
      </c>
      <c r="C26" s="43">
        <v>200000</v>
      </c>
      <c r="D26" s="6"/>
    </row>
    <row r="27" spans="1:4" ht="18" customHeight="1">
      <c r="A27" s="67"/>
      <c r="B27" s="60"/>
      <c r="C27" s="11"/>
      <c r="D27" s="12"/>
    </row>
    <row r="28" spans="1:4" s="40" customFormat="1" ht="17.25">
      <c r="A28" s="68"/>
      <c r="B28" s="63" t="s">
        <v>9</v>
      </c>
      <c r="C28" s="15">
        <f>SUM(C7:C27)</f>
        <v>4000000</v>
      </c>
      <c r="D28" s="16"/>
    </row>
    <row r="29" spans="1:4">
      <c r="A29" s="18"/>
    </row>
    <row r="30" spans="1:4">
      <c r="A30" s="18"/>
    </row>
    <row r="31" spans="1:4">
      <c r="A31" s="18"/>
      <c r="C31" s="40"/>
      <c r="D31" s="44" t="s">
        <v>159</v>
      </c>
    </row>
    <row r="32" spans="1:4">
      <c r="A32" s="18"/>
      <c r="C32"/>
      <c r="D32" s="40" t="s">
        <v>32</v>
      </c>
    </row>
    <row r="33" spans="1:7">
      <c r="A33" s="18"/>
      <c r="B33" s="40" t="s">
        <v>10</v>
      </c>
      <c r="C33"/>
      <c r="D33" s="40" t="s">
        <v>33</v>
      </c>
    </row>
    <row r="34" spans="1:7">
      <c r="A34" s="18"/>
      <c r="C34"/>
      <c r="D34" s="45"/>
    </row>
    <row r="35" spans="1:7">
      <c r="A35" s="18"/>
      <c r="C35"/>
      <c r="D35" s="45"/>
    </row>
    <row r="36" spans="1:7">
      <c r="C36" s="46"/>
      <c r="D36" s="45"/>
      <c r="G36" s="46"/>
    </row>
    <row r="37" spans="1:7">
      <c r="D37" s="46"/>
    </row>
    <row r="38" spans="1:7">
      <c r="B38" s="41" t="s">
        <v>51</v>
      </c>
      <c r="D38" s="41" t="s">
        <v>11</v>
      </c>
    </row>
    <row r="39" spans="1:7">
      <c r="F39" s="19"/>
    </row>
  </sheetData>
  <mergeCells count="5">
    <mergeCell ref="A3:D3"/>
    <mergeCell ref="A5:A6"/>
    <mergeCell ref="B5:B6"/>
    <mergeCell ref="C5:C6"/>
    <mergeCell ref="D5:D6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59999389629810485"/>
  </sheetPr>
  <dimension ref="A1:G59"/>
  <sheetViews>
    <sheetView topLeftCell="A25" workbookViewId="0">
      <selection activeCell="C49" sqref="C49"/>
    </sheetView>
  </sheetViews>
  <sheetFormatPr defaultRowHeight="12.75"/>
  <cols>
    <col min="1" max="1" width="6.7109375" customWidth="1"/>
    <col min="2" max="2" width="24.42578125" customWidth="1"/>
    <col min="3" max="3" width="17.140625" style="1" customWidth="1"/>
    <col min="4" max="4" width="37.5703125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42" t="s">
        <v>29</v>
      </c>
    </row>
    <row r="2" spans="1:4" ht="13.5" customHeight="1"/>
    <row r="3" spans="1:4" ht="20.25" customHeight="1">
      <c r="A3" s="82" t="s">
        <v>104</v>
      </c>
      <c r="B3" s="82"/>
      <c r="C3" s="82"/>
      <c r="D3" s="82"/>
    </row>
    <row r="5" spans="1:4" s="40" customFormat="1" ht="38.25" customHeight="1">
      <c r="A5" s="83" t="s">
        <v>1</v>
      </c>
      <c r="B5" s="83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3"/>
      <c r="C6" s="83"/>
      <c r="D6" s="83"/>
    </row>
    <row r="7" spans="1:4" ht="21.75" customHeight="1">
      <c r="A7" s="65">
        <v>1</v>
      </c>
      <c r="B7" s="54" t="s">
        <v>52</v>
      </c>
      <c r="C7" s="43">
        <v>200000</v>
      </c>
      <c r="D7" s="6"/>
    </row>
    <row r="8" spans="1:4" ht="21.75" customHeight="1">
      <c r="A8" s="66">
        <v>2</v>
      </c>
      <c r="B8" s="49" t="s">
        <v>53</v>
      </c>
      <c r="C8" s="43">
        <v>200000</v>
      </c>
      <c r="D8" s="6"/>
    </row>
    <row r="9" spans="1:4" ht="21.75" customHeight="1">
      <c r="A9" s="66">
        <v>3</v>
      </c>
      <c r="B9" s="49" t="s">
        <v>54</v>
      </c>
      <c r="C9" s="43">
        <v>200000</v>
      </c>
      <c r="D9" s="6"/>
    </row>
    <row r="10" spans="1:4" ht="21.75" customHeight="1">
      <c r="A10" s="66">
        <v>4</v>
      </c>
      <c r="B10" s="50" t="s">
        <v>55</v>
      </c>
      <c r="C10" s="43">
        <v>200000</v>
      </c>
      <c r="D10" s="6"/>
    </row>
    <row r="11" spans="1:4" ht="21.75" customHeight="1">
      <c r="A11" s="66">
        <v>5</v>
      </c>
      <c r="B11" s="49" t="s">
        <v>56</v>
      </c>
      <c r="C11" s="43">
        <v>200000</v>
      </c>
      <c r="D11" s="6"/>
    </row>
    <row r="12" spans="1:4" ht="21.75" customHeight="1">
      <c r="A12" s="66">
        <v>6</v>
      </c>
      <c r="B12" s="49" t="s">
        <v>57</v>
      </c>
      <c r="C12" s="43">
        <v>200000</v>
      </c>
      <c r="D12" s="6"/>
    </row>
    <row r="13" spans="1:4" ht="21.75" customHeight="1">
      <c r="A13" s="66">
        <v>7</v>
      </c>
      <c r="B13" s="49" t="s">
        <v>58</v>
      </c>
      <c r="C13" s="43">
        <v>200000</v>
      </c>
      <c r="D13" s="6"/>
    </row>
    <row r="14" spans="1:4" ht="21.75" customHeight="1">
      <c r="A14" s="66">
        <v>8</v>
      </c>
      <c r="B14" s="49" t="s">
        <v>59</v>
      </c>
      <c r="C14" s="43">
        <v>200000</v>
      </c>
      <c r="D14" s="6"/>
    </row>
    <row r="15" spans="1:4" ht="21.75" customHeight="1">
      <c r="A15" s="66">
        <v>9</v>
      </c>
      <c r="B15" s="49" t="s">
        <v>60</v>
      </c>
      <c r="C15" s="43">
        <v>200000</v>
      </c>
      <c r="D15" s="6"/>
    </row>
    <row r="16" spans="1:4" ht="21.75" customHeight="1">
      <c r="A16" s="66">
        <v>10</v>
      </c>
      <c r="B16" s="49" t="s">
        <v>61</v>
      </c>
      <c r="C16" s="43">
        <v>200000</v>
      </c>
      <c r="D16" s="6"/>
    </row>
    <row r="17" spans="1:4" ht="21.75" customHeight="1">
      <c r="A17" s="66">
        <v>11</v>
      </c>
      <c r="B17" s="49" t="s">
        <v>64</v>
      </c>
      <c r="C17" s="43">
        <v>200000</v>
      </c>
      <c r="D17" s="6"/>
    </row>
    <row r="18" spans="1:4" ht="21.75" customHeight="1">
      <c r="A18" s="66">
        <v>12</v>
      </c>
      <c r="B18" s="49" t="s">
        <v>63</v>
      </c>
      <c r="C18" s="43">
        <v>200000</v>
      </c>
      <c r="D18" s="6"/>
    </row>
    <row r="19" spans="1:4" ht="21.75" customHeight="1">
      <c r="A19" s="66">
        <v>13</v>
      </c>
      <c r="B19" s="50" t="s">
        <v>65</v>
      </c>
      <c r="C19" s="43">
        <v>200000</v>
      </c>
      <c r="D19" s="6"/>
    </row>
    <row r="20" spans="1:4" ht="21.75" customHeight="1">
      <c r="A20" s="66">
        <v>14</v>
      </c>
      <c r="B20" s="50" t="s">
        <v>66</v>
      </c>
      <c r="C20" s="43">
        <v>200000</v>
      </c>
      <c r="D20" s="6"/>
    </row>
    <row r="21" spans="1:4" ht="21.75" customHeight="1">
      <c r="A21" s="66">
        <v>15</v>
      </c>
      <c r="B21" s="51" t="s">
        <v>67</v>
      </c>
      <c r="C21" s="43">
        <v>200000</v>
      </c>
      <c r="D21" s="6"/>
    </row>
    <row r="22" spans="1:4" ht="21.75" customHeight="1">
      <c r="A22" s="66">
        <v>16</v>
      </c>
      <c r="B22" s="52" t="s">
        <v>68</v>
      </c>
      <c r="C22" s="43">
        <v>200000</v>
      </c>
      <c r="D22" s="6"/>
    </row>
    <row r="23" spans="1:4" ht="21.75" customHeight="1">
      <c r="A23" s="66">
        <v>17</v>
      </c>
      <c r="B23" s="49" t="s">
        <v>62</v>
      </c>
      <c r="C23" s="43">
        <v>200000</v>
      </c>
      <c r="D23" s="6"/>
    </row>
    <row r="24" spans="1:4" ht="21.75" customHeight="1">
      <c r="A24" s="66">
        <v>19</v>
      </c>
      <c r="B24" s="52" t="s">
        <v>8</v>
      </c>
      <c r="C24" s="43">
        <v>200000</v>
      </c>
      <c r="D24" s="6"/>
    </row>
    <row r="25" spans="1:4" ht="21.75" customHeight="1">
      <c r="A25" s="66">
        <v>20</v>
      </c>
      <c r="B25" s="52" t="s">
        <v>69</v>
      </c>
      <c r="C25" s="43">
        <v>200000</v>
      </c>
      <c r="D25" s="6"/>
    </row>
    <row r="26" spans="1:4" ht="21.75" customHeight="1">
      <c r="A26" s="66">
        <v>21</v>
      </c>
      <c r="B26" s="52" t="s">
        <v>70</v>
      </c>
      <c r="C26" s="43">
        <v>200000</v>
      </c>
      <c r="D26" s="6"/>
    </row>
    <row r="27" spans="1:4" ht="21.75" customHeight="1">
      <c r="A27" s="66">
        <v>22</v>
      </c>
      <c r="B27" s="52" t="s">
        <v>42</v>
      </c>
      <c r="C27" s="43">
        <v>200000</v>
      </c>
      <c r="D27" s="6"/>
    </row>
    <row r="28" spans="1:4" ht="21.75" customHeight="1">
      <c r="A28" s="66">
        <v>23</v>
      </c>
      <c r="B28" s="53" t="s">
        <v>71</v>
      </c>
      <c r="C28" s="43">
        <v>200000</v>
      </c>
      <c r="D28" s="6"/>
    </row>
    <row r="29" spans="1:4" ht="21.75" customHeight="1">
      <c r="A29" s="66">
        <v>24</v>
      </c>
      <c r="B29" s="53" t="s">
        <v>72</v>
      </c>
      <c r="C29" s="43">
        <v>200000</v>
      </c>
      <c r="D29" s="6"/>
    </row>
    <row r="30" spans="1:4" ht="21.75" customHeight="1">
      <c r="A30" s="66">
        <v>25</v>
      </c>
      <c r="B30" s="53" t="s">
        <v>73</v>
      </c>
      <c r="C30" s="43">
        <v>200000</v>
      </c>
      <c r="D30" s="6"/>
    </row>
    <row r="31" spans="1:4" ht="21.75" customHeight="1">
      <c r="A31" s="66">
        <v>26</v>
      </c>
      <c r="B31" s="53" t="s">
        <v>74</v>
      </c>
      <c r="C31" s="43">
        <v>200000</v>
      </c>
      <c r="D31" s="6"/>
    </row>
    <row r="32" spans="1:4" ht="21.75" customHeight="1">
      <c r="A32" s="66">
        <v>27</v>
      </c>
      <c r="B32" s="53" t="s">
        <v>75</v>
      </c>
      <c r="C32" s="43">
        <v>200000</v>
      </c>
      <c r="D32" s="6"/>
    </row>
    <row r="33" spans="1:4" ht="21.75" customHeight="1">
      <c r="A33" s="66">
        <v>28</v>
      </c>
      <c r="B33" s="53" t="s">
        <v>77</v>
      </c>
      <c r="C33" s="43">
        <v>200000</v>
      </c>
      <c r="D33" s="6"/>
    </row>
    <row r="34" spans="1:4" ht="21.75" customHeight="1">
      <c r="A34" s="66">
        <v>29</v>
      </c>
      <c r="B34" s="53" t="s">
        <v>78</v>
      </c>
      <c r="C34" s="43">
        <v>200000</v>
      </c>
      <c r="D34" s="6"/>
    </row>
    <row r="35" spans="1:4" ht="21.75" customHeight="1">
      <c r="A35" s="66">
        <v>30</v>
      </c>
      <c r="B35" s="52" t="s">
        <v>97</v>
      </c>
      <c r="C35" s="43">
        <v>200000</v>
      </c>
      <c r="D35" s="6"/>
    </row>
    <row r="36" spans="1:4" ht="21.75" customHeight="1">
      <c r="A36" s="66">
        <v>31</v>
      </c>
      <c r="B36" s="53" t="s">
        <v>81</v>
      </c>
      <c r="C36" s="43">
        <v>200000</v>
      </c>
      <c r="D36" s="6"/>
    </row>
    <row r="37" spans="1:4" ht="21.75" customHeight="1">
      <c r="A37" s="66">
        <v>32</v>
      </c>
      <c r="B37" s="53" t="s">
        <v>80</v>
      </c>
      <c r="C37" s="43">
        <v>200000</v>
      </c>
      <c r="D37" s="6"/>
    </row>
    <row r="38" spans="1:4" ht="21.75" customHeight="1">
      <c r="A38" s="66">
        <v>33</v>
      </c>
      <c r="B38" s="52" t="s">
        <v>82</v>
      </c>
      <c r="C38" s="43">
        <v>200000</v>
      </c>
      <c r="D38" s="6"/>
    </row>
    <row r="39" spans="1:4" ht="21.75" customHeight="1">
      <c r="A39" s="66">
        <v>34</v>
      </c>
      <c r="B39" s="52" t="s">
        <v>83</v>
      </c>
      <c r="C39" s="43">
        <v>200000</v>
      </c>
      <c r="D39" s="6"/>
    </row>
    <row r="40" spans="1:4" ht="21.75" customHeight="1">
      <c r="A40" s="66">
        <v>35</v>
      </c>
      <c r="B40" s="52" t="s">
        <v>84</v>
      </c>
      <c r="C40" s="43">
        <v>200000</v>
      </c>
      <c r="D40" s="6"/>
    </row>
    <row r="41" spans="1:4" ht="21.75" customHeight="1">
      <c r="A41" s="66">
        <v>36</v>
      </c>
      <c r="B41" s="52" t="s">
        <v>85</v>
      </c>
      <c r="C41" s="43">
        <v>200000</v>
      </c>
      <c r="D41" s="6"/>
    </row>
    <row r="42" spans="1:4" ht="21.75" customHeight="1">
      <c r="A42" s="66">
        <v>37</v>
      </c>
      <c r="B42" s="52" t="s">
        <v>98</v>
      </c>
      <c r="C42" s="43">
        <v>200000</v>
      </c>
      <c r="D42" s="6"/>
    </row>
    <row r="43" spans="1:4" ht="21.75" customHeight="1">
      <c r="A43" s="66">
        <v>38</v>
      </c>
      <c r="B43" s="52" t="s">
        <v>145</v>
      </c>
      <c r="C43" s="43">
        <v>200000</v>
      </c>
      <c r="D43" s="6"/>
    </row>
    <row r="44" spans="1:4" ht="21.75" customHeight="1">
      <c r="A44" s="66">
        <v>39</v>
      </c>
      <c r="B44" s="52" t="s">
        <v>126</v>
      </c>
      <c r="C44" s="43">
        <v>200000</v>
      </c>
      <c r="D44" s="6"/>
    </row>
    <row r="45" spans="1:4" ht="21.75" customHeight="1">
      <c r="A45" s="66">
        <v>40</v>
      </c>
      <c r="B45" s="52" t="s">
        <v>140</v>
      </c>
      <c r="C45" s="43">
        <v>200000</v>
      </c>
      <c r="D45" s="6"/>
    </row>
    <row r="46" spans="1:4" ht="21.75" customHeight="1">
      <c r="A46" s="66">
        <v>41</v>
      </c>
      <c r="B46" s="52" t="s">
        <v>143</v>
      </c>
      <c r="C46" s="43">
        <v>200000</v>
      </c>
      <c r="D46" s="6"/>
    </row>
    <row r="47" spans="1:4" ht="18" customHeight="1">
      <c r="A47" s="67"/>
      <c r="B47" s="60"/>
      <c r="C47" s="11"/>
      <c r="D47" s="12"/>
    </row>
    <row r="48" spans="1:4" s="40" customFormat="1" ht="17.25">
      <c r="A48" s="68"/>
      <c r="B48" s="63" t="s">
        <v>9</v>
      </c>
      <c r="C48" s="15">
        <f>SUM(C7:C47)</f>
        <v>8000000</v>
      </c>
      <c r="D48" s="16"/>
    </row>
    <row r="49" spans="1:7">
      <c r="A49" s="18"/>
    </row>
    <row r="50" spans="1:7">
      <c r="A50" s="18"/>
    </row>
    <row r="51" spans="1:7">
      <c r="A51" s="18"/>
      <c r="C51" s="40"/>
      <c r="D51" s="44" t="s">
        <v>105</v>
      </c>
    </row>
    <row r="52" spans="1:7">
      <c r="A52" s="18"/>
      <c r="C52"/>
      <c r="D52" s="40" t="s">
        <v>32</v>
      </c>
    </row>
    <row r="53" spans="1:7">
      <c r="A53" s="18"/>
      <c r="B53" s="40" t="s">
        <v>10</v>
      </c>
      <c r="C53"/>
      <c r="D53" s="40" t="s">
        <v>33</v>
      </c>
    </row>
    <row r="54" spans="1:7">
      <c r="A54" s="18"/>
      <c r="C54"/>
      <c r="D54" s="45"/>
    </row>
    <row r="55" spans="1:7">
      <c r="A55" s="18"/>
      <c r="C55"/>
      <c r="D55" s="45"/>
    </row>
    <row r="56" spans="1:7">
      <c r="C56" s="46"/>
      <c r="D56" s="45"/>
      <c r="G56" s="46"/>
    </row>
    <row r="57" spans="1:7">
      <c r="D57" s="46"/>
    </row>
    <row r="58" spans="1:7">
      <c r="B58" s="41" t="s">
        <v>51</v>
      </c>
      <c r="D58" s="41" t="s">
        <v>11</v>
      </c>
    </row>
    <row r="59" spans="1:7">
      <c r="F59" s="19"/>
    </row>
  </sheetData>
  <mergeCells count="5">
    <mergeCell ref="A3:D3"/>
    <mergeCell ref="A5:A6"/>
    <mergeCell ref="B5:B6"/>
    <mergeCell ref="C5:C6"/>
    <mergeCell ref="D5:D6"/>
  </mergeCells>
  <pageMargins left="0.7" right="0.7" top="0.2" bottom="0.2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  <pageSetUpPr fitToPage="1"/>
  </sheetPr>
  <dimension ref="A1:G68"/>
  <sheetViews>
    <sheetView topLeftCell="A35" workbookViewId="0">
      <selection activeCell="C52" sqref="C52"/>
    </sheetView>
  </sheetViews>
  <sheetFormatPr defaultRowHeight="12.75"/>
  <cols>
    <col min="1" max="1" width="6.7109375" customWidth="1"/>
    <col min="2" max="2" width="24.42578125" customWidth="1"/>
    <col min="3" max="3" width="17.140625" style="1" customWidth="1"/>
    <col min="4" max="4" width="37.5703125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42" t="s">
        <v>29</v>
      </c>
    </row>
    <row r="2" spans="1:4" ht="13.5" customHeight="1"/>
    <row r="3" spans="1:4" ht="20.25" customHeight="1">
      <c r="A3" s="82" t="s">
        <v>111</v>
      </c>
      <c r="B3" s="82"/>
      <c r="C3" s="82"/>
      <c r="D3" s="82"/>
    </row>
    <row r="5" spans="1:4" s="40" customFormat="1" ht="38.25" customHeight="1">
      <c r="A5" s="83" t="s">
        <v>1</v>
      </c>
      <c r="B5" s="83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3"/>
      <c r="C6" s="83"/>
      <c r="D6" s="83"/>
    </row>
    <row r="7" spans="1:4" ht="21.75" customHeight="1">
      <c r="A7" s="65">
        <v>1</v>
      </c>
      <c r="B7" s="54" t="s">
        <v>52</v>
      </c>
      <c r="C7" s="43">
        <v>100000</v>
      </c>
      <c r="D7" s="6"/>
    </row>
    <row r="8" spans="1:4" ht="21.75" customHeight="1">
      <c r="A8" s="66">
        <v>2</v>
      </c>
      <c r="B8" s="49" t="s">
        <v>53</v>
      </c>
      <c r="C8" s="43">
        <v>100000</v>
      </c>
      <c r="D8" s="6"/>
    </row>
    <row r="9" spans="1:4" ht="21.75" customHeight="1">
      <c r="A9" s="66">
        <v>3</v>
      </c>
      <c r="B9" s="49" t="s">
        <v>54</v>
      </c>
      <c r="C9" s="43">
        <v>100000</v>
      </c>
      <c r="D9" s="6"/>
    </row>
    <row r="10" spans="1:4" ht="21.75" customHeight="1">
      <c r="A10" s="66">
        <v>4</v>
      </c>
      <c r="B10" s="50" t="s">
        <v>55</v>
      </c>
      <c r="C10" s="43">
        <v>100000</v>
      </c>
      <c r="D10" s="6"/>
    </row>
    <row r="11" spans="1:4" ht="21.75" customHeight="1">
      <c r="A11" s="66">
        <v>5</v>
      </c>
      <c r="B11" s="49" t="s">
        <v>56</v>
      </c>
      <c r="C11" s="43">
        <v>100000</v>
      </c>
      <c r="D11" s="6"/>
    </row>
    <row r="12" spans="1:4" ht="21.75" customHeight="1">
      <c r="A12" s="66">
        <v>6</v>
      </c>
      <c r="B12" s="49" t="s">
        <v>57</v>
      </c>
      <c r="C12" s="43">
        <v>100000</v>
      </c>
      <c r="D12" s="6"/>
    </row>
    <row r="13" spans="1:4" ht="21.75" customHeight="1">
      <c r="A13" s="66">
        <v>7</v>
      </c>
      <c r="B13" s="49" t="s">
        <v>58</v>
      </c>
      <c r="C13" s="43">
        <v>100000</v>
      </c>
      <c r="D13" s="6"/>
    </row>
    <row r="14" spans="1:4" ht="21.75" customHeight="1">
      <c r="A14" s="66">
        <v>8</v>
      </c>
      <c r="B14" s="49" t="s">
        <v>59</v>
      </c>
      <c r="C14" s="43">
        <v>100000</v>
      </c>
      <c r="D14" s="6"/>
    </row>
    <row r="15" spans="1:4" ht="21.75" customHeight="1">
      <c r="A15" s="66">
        <v>9</v>
      </c>
      <c r="B15" s="49" t="s">
        <v>60</v>
      </c>
      <c r="C15" s="43">
        <v>100000</v>
      </c>
      <c r="D15" s="6"/>
    </row>
    <row r="16" spans="1:4" ht="21.75" customHeight="1">
      <c r="A16" s="66">
        <v>10</v>
      </c>
      <c r="B16" s="49" t="s">
        <v>61</v>
      </c>
      <c r="C16" s="43">
        <v>100000</v>
      </c>
      <c r="D16" s="6"/>
    </row>
    <row r="17" spans="1:4" ht="21.75" customHeight="1">
      <c r="A17" s="66">
        <v>11</v>
      </c>
      <c r="B17" s="49" t="s">
        <v>64</v>
      </c>
      <c r="C17" s="43">
        <v>100000</v>
      </c>
      <c r="D17" s="6"/>
    </row>
    <row r="18" spans="1:4" ht="21.75" customHeight="1">
      <c r="A18" s="66">
        <v>12</v>
      </c>
      <c r="B18" s="49" t="s">
        <v>63</v>
      </c>
      <c r="C18" s="43">
        <v>100000</v>
      </c>
      <c r="D18" s="6"/>
    </row>
    <row r="19" spans="1:4" ht="21.75" customHeight="1">
      <c r="A19" s="66">
        <v>13</v>
      </c>
      <c r="B19" s="50" t="s">
        <v>65</v>
      </c>
      <c r="C19" s="43">
        <v>100000</v>
      </c>
      <c r="D19" s="6"/>
    </row>
    <row r="20" spans="1:4" ht="21.75" customHeight="1">
      <c r="A20" s="66">
        <v>14</v>
      </c>
      <c r="B20" s="50" t="s">
        <v>66</v>
      </c>
      <c r="C20" s="43">
        <v>100000</v>
      </c>
      <c r="D20" s="6"/>
    </row>
    <row r="21" spans="1:4" ht="21.75" customHeight="1">
      <c r="A21" s="66">
        <v>15</v>
      </c>
      <c r="B21" s="51" t="s">
        <v>67</v>
      </c>
      <c r="C21" s="43">
        <v>100000</v>
      </c>
      <c r="D21" s="6"/>
    </row>
    <row r="22" spans="1:4" ht="21.75" customHeight="1">
      <c r="A22" s="66">
        <v>16</v>
      </c>
      <c r="B22" s="52" t="s">
        <v>68</v>
      </c>
      <c r="C22" s="43">
        <v>100000</v>
      </c>
      <c r="D22" s="6"/>
    </row>
    <row r="23" spans="1:4" ht="21.75" customHeight="1">
      <c r="A23" s="66">
        <v>17</v>
      </c>
      <c r="B23" s="49" t="s">
        <v>62</v>
      </c>
      <c r="C23" s="43">
        <v>100000</v>
      </c>
      <c r="D23" s="6"/>
    </row>
    <row r="24" spans="1:4" ht="21.75" customHeight="1">
      <c r="A24" s="66">
        <v>18</v>
      </c>
      <c r="B24" s="51" t="s">
        <v>96</v>
      </c>
      <c r="C24" s="43">
        <v>100000</v>
      </c>
      <c r="D24" s="6"/>
    </row>
    <row r="25" spans="1:4" ht="21.75" customHeight="1">
      <c r="A25" s="66">
        <v>19</v>
      </c>
      <c r="B25" s="52" t="s">
        <v>8</v>
      </c>
      <c r="C25" s="43">
        <v>100000</v>
      </c>
      <c r="D25" s="6"/>
    </row>
    <row r="26" spans="1:4" ht="21.75" customHeight="1">
      <c r="A26" s="66">
        <v>20</v>
      </c>
      <c r="B26" s="52" t="s">
        <v>69</v>
      </c>
      <c r="C26" s="43">
        <v>100000</v>
      </c>
      <c r="D26" s="6"/>
    </row>
    <row r="27" spans="1:4" ht="21.75" customHeight="1">
      <c r="A27" s="66">
        <v>21</v>
      </c>
      <c r="B27" s="52" t="s">
        <v>70</v>
      </c>
      <c r="C27" s="43">
        <v>100000</v>
      </c>
      <c r="D27" s="6"/>
    </row>
    <row r="28" spans="1:4" ht="21.75" customHeight="1">
      <c r="A28" s="66">
        <v>22</v>
      </c>
      <c r="B28" s="52" t="s">
        <v>42</v>
      </c>
      <c r="C28" s="43">
        <v>100000</v>
      </c>
      <c r="D28" s="6"/>
    </row>
    <row r="29" spans="1:4" ht="21.75" customHeight="1">
      <c r="A29" s="66">
        <v>23</v>
      </c>
      <c r="B29" s="53" t="s">
        <v>71</v>
      </c>
      <c r="C29" s="43">
        <v>100000</v>
      </c>
      <c r="D29" s="6"/>
    </row>
    <row r="30" spans="1:4" ht="21.75" customHeight="1">
      <c r="A30" s="66">
        <v>24</v>
      </c>
      <c r="B30" s="53" t="s">
        <v>72</v>
      </c>
      <c r="C30" s="43">
        <v>100000</v>
      </c>
      <c r="D30" s="6"/>
    </row>
    <row r="31" spans="1:4" ht="21.75" customHeight="1">
      <c r="A31" s="66">
        <v>25</v>
      </c>
      <c r="B31" s="53" t="s">
        <v>73</v>
      </c>
      <c r="C31" s="43">
        <v>100000</v>
      </c>
      <c r="D31" s="6"/>
    </row>
    <row r="32" spans="1:4" ht="21.75" customHeight="1">
      <c r="A32" s="66">
        <v>26</v>
      </c>
      <c r="B32" s="53" t="s">
        <v>74</v>
      </c>
      <c r="C32" s="43">
        <v>100000</v>
      </c>
      <c r="D32" s="6"/>
    </row>
    <row r="33" spans="1:4" ht="21.75" customHeight="1">
      <c r="A33" s="66">
        <v>27</v>
      </c>
      <c r="B33" s="53" t="s">
        <v>75</v>
      </c>
      <c r="C33" s="43">
        <v>100000</v>
      </c>
      <c r="D33" s="6"/>
    </row>
    <row r="34" spans="1:4" ht="21.75" customHeight="1">
      <c r="A34" s="66">
        <v>28</v>
      </c>
      <c r="B34" s="53" t="s">
        <v>77</v>
      </c>
      <c r="C34" s="43">
        <v>100000</v>
      </c>
      <c r="D34" s="6"/>
    </row>
    <row r="35" spans="1:4" ht="21.75" customHeight="1">
      <c r="A35" s="66">
        <v>29</v>
      </c>
      <c r="B35" s="53" t="s">
        <v>78</v>
      </c>
      <c r="C35" s="43">
        <v>100000</v>
      </c>
      <c r="D35" s="6"/>
    </row>
    <row r="36" spans="1:4" ht="21.75" customHeight="1">
      <c r="A36" s="66">
        <v>30</v>
      </c>
      <c r="B36" s="52" t="s">
        <v>97</v>
      </c>
      <c r="C36" s="43">
        <v>100000</v>
      </c>
      <c r="D36" s="6"/>
    </row>
    <row r="37" spans="1:4" ht="21.75" customHeight="1">
      <c r="A37" s="66">
        <v>31</v>
      </c>
      <c r="B37" s="53" t="s">
        <v>76</v>
      </c>
      <c r="C37" s="43">
        <v>100000</v>
      </c>
      <c r="D37" s="6"/>
    </row>
    <row r="38" spans="1:4" ht="21.75" customHeight="1">
      <c r="A38" s="66">
        <v>32</v>
      </c>
      <c r="B38" s="53" t="s">
        <v>106</v>
      </c>
      <c r="C38" s="43">
        <v>100000</v>
      </c>
      <c r="D38" s="6"/>
    </row>
    <row r="39" spans="1:4" ht="21.75" customHeight="1">
      <c r="A39" s="66">
        <v>33</v>
      </c>
      <c r="B39" s="53" t="s">
        <v>81</v>
      </c>
      <c r="C39" s="43">
        <v>100000</v>
      </c>
      <c r="D39" s="6"/>
    </row>
    <row r="40" spans="1:4" ht="21.75" customHeight="1">
      <c r="A40" s="66">
        <v>34</v>
      </c>
      <c r="B40" s="53" t="s">
        <v>80</v>
      </c>
      <c r="C40" s="43">
        <v>100000</v>
      </c>
      <c r="D40" s="6"/>
    </row>
    <row r="41" spans="1:4" ht="21.75" customHeight="1">
      <c r="A41" s="66">
        <v>35</v>
      </c>
      <c r="B41" s="52" t="s">
        <v>82</v>
      </c>
      <c r="C41" s="43">
        <v>100000</v>
      </c>
      <c r="D41" s="6"/>
    </row>
    <row r="42" spans="1:4" ht="21.75" customHeight="1">
      <c r="A42" s="66">
        <v>36</v>
      </c>
      <c r="B42" s="52" t="s">
        <v>83</v>
      </c>
      <c r="C42" s="43">
        <v>100000</v>
      </c>
      <c r="D42" s="6"/>
    </row>
    <row r="43" spans="1:4" ht="21.75" customHeight="1">
      <c r="A43" s="66">
        <v>37</v>
      </c>
      <c r="B43" s="52" t="s">
        <v>84</v>
      </c>
      <c r="C43" s="43">
        <v>100000</v>
      </c>
      <c r="D43" s="6"/>
    </row>
    <row r="44" spans="1:4" ht="21.75" customHeight="1">
      <c r="A44" s="66">
        <v>38</v>
      </c>
      <c r="B44" s="52" t="s">
        <v>85</v>
      </c>
      <c r="C44" s="43">
        <v>100000</v>
      </c>
      <c r="D44" s="6"/>
    </row>
    <row r="45" spans="1:4" ht="21.75" customHeight="1">
      <c r="A45" s="66">
        <v>39</v>
      </c>
      <c r="B45" s="52" t="s">
        <v>86</v>
      </c>
      <c r="C45" s="43">
        <v>100000</v>
      </c>
      <c r="D45" s="6"/>
    </row>
    <row r="46" spans="1:4" ht="21.75" customHeight="1">
      <c r="A46" s="66">
        <v>40</v>
      </c>
      <c r="B46" s="52" t="s">
        <v>87</v>
      </c>
      <c r="C46" s="43">
        <v>100000</v>
      </c>
      <c r="D46" s="6"/>
    </row>
    <row r="47" spans="1:4" ht="21.75" customHeight="1">
      <c r="A47" s="66">
        <v>41</v>
      </c>
      <c r="B47" s="52" t="s">
        <v>88</v>
      </c>
      <c r="C47" s="43">
        <v>100000</v>
      </c>
      <c r="D47" s="6"/>
    </row>
    <row r="48" spans="1:4" ht="21.75" customHeight="1">
      <c r="A48" s="66">
        <v>42</v>
      </c>
      <c r="B48" s="52" t="s">
        <v>89</v>
      </c>
      <c r="C48" s="43">
        <v>100000</v>
      </c>
      <c r="D48" s="6"/>
    </row>
    <row r="49" spans="1:4" ht="21.75" customHeight="1">
      <c r="A49" s="66">
        <v>43</v>
      </c>
      <c r="B49" s="52" t="s">
        <v>90</v>
      </c>
      <c r="C49" s="43">
        <v>100000</v>
      </c>
      <c r="D49" s="6"/>
    </row>
    <row r="50" spans="1:4" ht="21.75" customHeight="1">
      <c r="A50" s="66">
        <v>44</v>
      </c>
      <c r="B50" s="52" t="s">
        <v>91</v>
      </c>
      <c r="C50" s="43">
        <v>100000</v>
      </c>
      <c r="D50" s="6"/>
    </row>
    <row r="51" spans="1:4" ht="21.75" customHeight="1">
      <c r="A51" s="66">
        <v>45</v>
      </c>
      <c r="B51" s="52" t="s">
        <v>92</v>
      </c>
      <c r="C51" s="43">
        <v>100000</v>
      </c>
      <c r="D51" s="6"/>
    </row>
    <row r="52" spans="1:4" ht="21.75" customHeight="1">
      <c r="A52" s="66">
        <v>46</v>
      </c>
      <c r="B52" s="52" t="s">
        <v>93</v>
      </c>
      <c r="C52" s="43">
        <v>100000</v>
      </c>
      <c r="D52" s="6"/>
    </row>
    <row r="53" spans="1:4" ht="21.75" customHeight="1">
      <c r="A53" s="66">
        <v>47</v>
      </c>
      <c r="B53" s="52" t="s">
        <v>94</v>
      </c>
      <c r="C53" s="43">
        <v>100000</v>
      </c>
      <c r="D53" s="6"/>
    </row>
    <row r="54" spans="1:4" ht="21.75" customHeight="1">
      <c r="A54" s="66">
        <v>48</v>
      </c>
      <c r="B54" s="52" t="s">
        <v>95</v>
      </c>
      <c r="C54" s="43">
        <v>100000</v>
      </c>
      <c r="D54" s="6"/>
    </row>
    <row r="55" spans="1:4" ht="21.75" customHeight="1">
      <c r="A55" s="66">
        <v>49</v>
      </c>
      <c r="B55" s="52" t="s">
        <v>98</v>
      </c>
      <c r="C55" s="43">
        <v>100000</v>
      </c>
      <c r="D55" s="6"/>
    </row>
    <row r="56" spans="1:4" ht="18" customHeight="1">
      <c r="A56" s="67"/>
      <c r="B56" s="60"/>
      <c r="C56" s="11"/>
      <c r="D56" s="12"/>
    </row>
    <row r="57" spans="1:4" s="40" customFormat="1" ht="17.25">
      <c r="A57" s="68"/>
      <c r="B57" s="63" t="s">
        <v>9</v>
      </c>
      <c r="C57" s="15">
        <f>SUM(C7:C56)</f>
        <v>4900000</v>
      </c>
      <c r="D57" s="16"/>
    </row>
    <row r="58" spans="1:4">
      <c r="A58" s="18"/>
    </row>
    <row r="59" spans="1:4">
      <c r="A59" s="18"/>
    </row>
    <row r="60" spans="1:4">
      <c r="A60" s="18"/>
      <c r="C60" s="40"/>
      <c r="D60" s="44" t="s">
        <v>112</v>
      </c>
    </row>
    <row r="61" spans="1:4">
      <c r="A61" s="18"/>
      <c r="C61"/>
      <c r="D61" s="40" t="s">
        <v>32</v>
      </c>
    </row>
    <row r="62" spans="1:4">
      <c r="A62" s="18"/>
      <c r="B62" s="40" t="s">
        <v>10</v>
      </c>
      <c r="C62"/>
      <c r="D62" s="40" t="s">
        <v>33</v>
      </c>
    </row>
    <row r="63" spans="1:4">
      <c r="A63" s="18"/>
      <c r="C63"/>
      <c r="D63" s="45"/>
    </row>
    <row r="64" spans="1:4">
      <c r="A64" s="18"/>
      <c r="C64"/>
      <c r="D64" s="45"/>
    </row>
    <row r="65" spans="2:7">
      <c r="C65" s="46"/>
      <c r="D65" s="45"/>
      <c r="G65" s="46"/>
    </row>
    <row r="66" spans="2:7">
      <c r="D66" s="46"/>
    </row>
    <row r="67" spans="2:7">
      <c r="B67" s="41" t="s">
        <v>51</v>
      </c>
      <c r="D67" s="41" t="s">
        <v>11</v>
      </c>
    </row>
    <row r="68" spans="2:7">
      <c r="F68" s="19"/>
    </row>
  </sheetData>
  <mergeCells count="5">
    <mergeCell ref="A3:D3"/>
    <mergeCell ref="A5:A6"/>
    <mergeCell ref="B5:B6"/>
    <mergeCell ref="C5:C6"/>
    <mergeCell ref="D5:D6"/>
  </mergeCells>
  <pageMargins left="0.7" right="0.7" top="0.2" bottom="0.2" header="0.3" footer="0.3"/>
  <pageSetup paperSize="9" fitToHeight="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H25"/>
  <sheetViews>
    <sheetView workbookViewId="0">
      <selection activeCell="E10" sqref="E10"/>
    </sheetView>
  </sheetViews>
  <sheetFormatPr defaultRowHeight="12.75"/>
  <cols>
    <col min="1" max="1" width="6.7109375" customWidth="1"/>
    <col min="2" max="2" width="23.140625" customWidth="1"/>
    <col min="3" max="3" width="24.7109375" customWidth="1"/>
    <col min="4" max="4" width="17.140625" style="1" customWidth="1"/>
    <col min="5" max="5" width="37" customWidth="1"/>
    <col min="6" max="6" width="13.140625" customWidth="1"/>
    <col min="7" max="7" width="11.85546875" customWidth="1"/>
    <col min="8" max="8" width="10" customWidth="1"/>
    <col min="256" max="256" width="6.7109375" customWidth="1"/>
    <col min="257" max="257" width="29.28515625" customWidth="1"/>
    <col min="258" max="258" width="21.28515625" customWidth="1"/>
    <col min="259" max="259" width="36" customWidth="1"/>
    <col min="260" max="260" width="13.140625" customWidth="1"/>
    <col min="261" max="261" width="13.42578125" customWidth="1"/>
    <col min="262" max="262" width="13.140625" customWidth="1"/>
    <col min="263" max="263" width="11.85546875" customWidth="1"/>
    <col min="264" max="264" width="10" customWidth="1"/>
    <col min="512" max="512" width="6.7109375" customWidth="1"/>
    <col min="513" max="513" width="29.28515625" customWidth="1"/>
    <col min="514" max="514" width="21.28515625" customWidth="1"/>
    <col min="515" max="515" width="36" customWidth="1"/>
    <col min="516" max="516" width="13.140625" customWidth="1"/>
    <col min="517" max="517" width="13.42578125" customWidth="1"/>
    <col min="518" max="518" width="13.140625" customWidth="1"/>
    <col min="519" max="519" width="11.85546875" customWidth="1"/>
    <col min="520" max="520" width="10" customWidth="1"/>
    <col min="768" max="768" width="6.7109375" customWidth="1"/>
    <col min="769" max="769" width="29.28515625" customWidth="1"/>
    <col min="770" max="770" width="21.28515625" customWidth="1"/>
    <col min="771" max="771" width="36" customWidth="1"/>
    <col min="772" max="772" width="13.140625" customWidth="1"/>
    <col min="773" max="773" width="13.42578125" customWidth="1"/>
    <col min="774" max="774" width="13.140625" customWidth="1"/>
    <col min="775" max="775" width="11.85546875" customWidth="1"/>
    <col min="776" max="776" width="10" customWidth="1"/>
    <col min="1024" max="1024" width="6.7109375" customWidth="1"/>
    <col min="1025" max="1025" width="29.28515625" customWidth="1"/>
    <col min="1026" max="1026" width="21.28515625" customWidth="1"/>
    <col min="1027" max="1027" width="36" customWidth="1"/>
    <col min="1028" max="1028" width="13.140625" customWidth="1"/>
    <col min="1029" max="1029" width="13.42578125" customWidth="1"/>
    <col min="1030" max="1030" width="13.140625" customWidth="1"/>
    <col min="1031" max="1031" width="11.85546875" customWidth="1"/>
    <col min="1032" max="1032" width="10" customWidth="1"/>
    <col min="1280" max="1280" width="6.7109375" customWidth="1"/>
    <col min="1281" max="1281" width="29.28515625" customWidth="1"/>
    <col min="1282" max="1282" width="21.28515625" customWidth="1"/>
    <col min="1283" max="1283" width="36" customWidth="1"/>
    <col min="1284" max="1284" width="13.140625" customWidth="1"/>
    <col min="1285" max="1285" width="13.42578125" customWidth="1"/>
    <col min="1286" max="1286" width="13.140625" customWidth="1"/>
    <col min="1287" max="1287" width="11.85546875" customWidth="1"/>
    <col min="1288" max="1288" width="10" customWidth="1"/>
    <col min="1536" max="1536" width="6.7109375" customWidth="1"/>
    <col min="1537" max="1537" width="29.28515625" customWidth="1"/>
    <col min="1538" max="1538" width="21.28515625" customWidth="1"/>
    <col min="1539" max="1539" width="36" customWidth="1"/>
    <col min="1540" max="1540" width="13.140625" customWidth="1"/>
    <col min="1541" max="1541" width="13.42578125" customWidth="1"/>
    <col min="1542" max="1542" width="13.140625" customWidth="1"/>
    <col min="1543" max="1543" width="11.85546875" customWidth="1"/>
    <col min="1544" max="1544" width="10" customWidth="1"/>
    <col min="1792" max="1792" width="6.7109375" customWidth="1"/>
    <col min="1793" max="1793" width="29.28515625" customWidth="1"/>
    <col min="1794" max="1794" width="21.28515625" customWidth="1"/>
    <col min="1795" max="1795" width="36" customWidth="1"/>
    <col min="1796" max="1796" width="13.140625" customWidth="1"/>
    <col min="1797" max="1797" width="13.42578125" customWidth="1"/>
    <col min="1798" max="1798" width="13.140625" customWidth="1"/>
    <col min="1799" max="1799" width="11.85546875" customWidth="1"/>
    <col min="1800" max="1800" width="10" customWidth="1"/>
    <col min="2048" max="2048" width="6.7109375" customWidth="1"/>
    <col min="2049" max="2049" width="29.28515625" customWidth="1"/>
    <col min="2050" max="2050" width="21.28515625" customWidth="1"/>
    <col min="2051" max="2051" width="36" customWidth="1"/>
    <col min="2052" max="2052" width="13.140625" customWidth="1"/>
    <col min="2053" max="2053" width="13.42578125" customWidth="1"/>
    <col min="2054" max="2054" width="13.140625" customWidth="1"/>
    <col min="2055" max="2055" width="11.85546875" customWidth="1"/>
    <col min="2056" max="2056" width="10" customWidth="1"/>
    <col min="2304" max="2304" width="6.7109375" customWidth="1"/>
    <col min="2305" max="2305" width="29.28515625" customWidth="1"/>
    <col min="2306" max="2306" width="21.28515625" customWidth="1"/>
    <col min="2307" max="2307" width="36" customWidth="1"/>
    <col min="2308" max="2308" width="13.140625" customWidth="1"/>
    <col min="2309" max="2309" width="13.42578125" customWidth="1"/>
    <col min="2310" max="2310" width="13.140625" customWidth="1"/>
    <col min="2311" max="2311" width="11.85546875" customWidth="1"/>
    <col min="2312" max="2312" width="10" customWidth="1"/>
    <col min="2560" max="2560" width="6.7109375" customWidth="1"/>
    <col min="2561" max="2561" width="29.28515625" customWidth="1"/>
    <col min="2562" max="2562" width="21.28515625" customWidth="1"/>
    <col min="2563" max="2563" width="36" customWidth="1"/>
    <col min="2564" max="2564" width="13.140625" customWidth="1"/>
    <col min="2565" max="2565" width="13.42578125" customWidth="1"/>
    <col min="2566" max="2566" width="13.140625" customWidth="1"/>
    <col min="2567" max="2567" width="11.85546875" customWidth="1"/>
    <col min="2568" max="2568" width="10" customWidth="1"/>
    <col min="2816" max="2816" width="6.7109375" customWidth="1"/>
    <col min="2817" max="2817" width="29.28515625" customWidth="1"/>
    <col min="2818" max="2818" width="21.28515625" customWidth="1"/>
    <col min="2819" max="2819" width="36" customWidth="1"/>
    <col min="2820" max="2820" width="13.140625" customWidth="1"/>
    <col min="2821" max="2821" width="13.42578125" customWidth="1"/>
    <col min="2822" max="2822" width="13.140625" customWidth="1"/>
    <col min="2823" max="2823" width="11.85546875" customWidth="1"/>
    <col min="2824" max="2824" width="10" customWidth="1"/>
    <col min="3072" max="3072" width="6.7109375" customWidth="1"/>
    <col min="3073" max="3073" width="29.28515625" customWidth="1"/>
    <col min="3074" max="3074" width="21.28515625" customWidth="1"/>
    <col min="3075" max="3075" width="36" customWidth="1"/>
    <col min="3076" max="3076" width="13.140625" customWidth="1"/>
    <col min="3077" max="3077" width="13.42578125" customWidth="1"/>
    <col min="3078" max="3078" width="13.140625" customWidth="1"/>
    <col min="3079" max="3079" width="11.85546875" customWidth="1"/>
    <col min="3080" max="3080" width="10" customWidth="1"/>
    <col min="3328" max="3328" width="6.7109375" customWidth="1"/>
    <col min="3329" max="3329" width="29.28515625" customWidth="1"/>
    <col min="3330" max="3330" width="21.28515625" customWidth="1"/>
    <col min="3331" max="3331" width="36" customWidth="1"/>
    <col min="3332" max="3332" width="13.140625" customWidth="1"/>
    <col min="3333" max="3333" width="13.42578125" customWidth="1"/>
    <col min="3334" max="3334" width="13.140625" customWidth="1"/>
    <col min="3335" max="3335" width="11.85546875" customWidth="1"/>
    <col min="3336" max="3336" width="10" customWidth="1"/>
    <col min="3584" max="3584" width="6.7109375" customWidth="1"/>
    <col min="3585" max="3585" width="29.28515625" customWidth="1"/>
    <col min="3586" max="3586" width="21.28515625" customWidth="1"/>
    <col min="3587" max="3587" width="36" customWidth="1"/>
    <col min="3588" max="3588" width="13.140625" customWidth="1"/>
    <col min="3589" max="3589" width="13.42578125" customWidth="1"/>
    <col min="3590" max="3590" width="13.140625" customWidth="1"/>
    <col min="3591" max="3591" width="11.85546875" customWidth="1"/>
    <col min="3592" max="3592" width="10" customWidth="1"/>
    <col min="3840" max="3840" width="6.7109375" customWidth="1"/>
    <col min="3841" max="3841" width="29.28515625" customWidth="1"/>
    <col min="3842" max="3842" width="21.28515625" customWidth="1"/>
    <col min="3843" max="3843" width="36" customWidth="1"/>
    <col min="3844" max="3844" width="13.140625" customWidth="1"/>
    <col min="3845" max="3845" width="13.42578125" customWidth="1"/>
    <col min="3846" max="3846" width="13.140625" customWidth="1"/>
    <col min="3847" max="3847" width="11.85546875" customWidth="1"/>
    <col min="3848" max="3848" width="10" customWidth="1"/>
    <col min="4096" max="4096" width="6.7109375" customWidth="1"/>
    <col min="4097" max="4097" width="29.28515625" customWidth="1"/>
    <col min="4098" max="4098" width="21.28515625" customWidth="1"/>
    <col min="4099" max="4099" width="36" customWidth="1"/>
    <col min="4100" max="4100" width="13.140625" customWidth="1"/>
    <col min="4101" max="4101" width="13.42578125" customWidth="1"/>
    <col min="4102" max="4102" width="13.140625" customWidth="1"/>
    <col min="4103" max="4103" width="11.85546875" customWidth="1"/>
    <col min="4104" max="4104" width="10" customWidth="1"/>
    <col min="4352" max="4352" width="6.7109375" customWidth="1"/>
    <col min="4353" max="4353" width="29.28515625" customWidth="1"/>
    <col min="4354" max="4354" width="21.28515625" customWidth="1"/>
    <col min="4355" max="4355" width="36" customWidth="1"/>
    <col min="4356" max="4356" width="13.140625" customWidth="1"/>
    <col min="4357" max="4357" width="13.42578125" customWidth="1"/>
    <col min="4358" max="4358" width="13.140625" customWidth="1"/>
    <col min="4359" max="4359" width="11.85546875" customWidth="1"/>
    <col min="4360" max="4360" width="10" customWidth="1"/>
    <col min="4608" max="4608" width="6.7109375" customWidth="1"/>
    <col min="4609" max="4609" width="29.28515625" customWidth="1"/>
    <col min="4610" max="4610" width="21.28515625" customWidth="1"/>
    <col min="4611" max="4611" width="36" customWidth="1"/>
    <col min="4612" max="4612" width="13.140625" customWidth="1"/>
    <col min="4613" max="4613" width="13.42578125" customWidth="1"/>
    <col min="4614" max="4614" width="13.140625" customWidth="1"/>
    <col min="4615" max="4615" width="11.85546875" customWidth="1"/>
    <col min="4616" max="4616" width="10" customWidth="1"/>
    <col min="4864" max="4864" width="6.7109375" customWidth="1"/>
    <col min="4865" max="4865" width="29.28515625" customWidth="1"/>
    <col min="4866" max="4866" width="21.28515625" customWidth="1"/>
    <col min="4867" max="4867" width="36" customWidth="1"/>
    <col min="4868" max="4868" width="13.140625" customWidth="1"/>
    <col min="4869" max="4869" width="13.42578125" customWidth="1"/>
    <col min="4870" max="4870" width="13.140625" customWidth="1"/>
    <col min="4871" max="4871" width="11.85546875" customWidth="1"/>
    <col min="4872" max="4872" width="10" customWidth="1"/>
    <col min="5120" max="5120" width="6.7109375" customWidth="1"/>
    <col min="5121" max="5121" width="29.28515625" customWidth="1"/>
    <col min="5122" max="5122" width="21.28515625" customWidth="1"/>
    <col min="5123" max="5123" width="36" customWidth="1"/>
    <col min="5124" max="5124" width="13.140625" customWidth="1"/>
    <col min="5125" max="5125" width="13.42578125" customWidth="1"/>
    <col min="5126" max="5126" width="13.140625" customWidth="1"/>
    <col min="5127" max="5127" width="11.85546875" customWidth="1"/>
    <col min="5128" max="5128" width="10" customWidth="1"/>
    <col min="5376" max="5376" width="6.7109375" customWidth="1"/>
    <col min="5377" max="5377" width="29.28515625" customWidth="1"/>
    <col min="5378" max="5378" width="21.28515625" customWidth="1"/>
    <col min="5379" max="5379" width="36" customWidth="1"/>
    <col min="5380" max="5380" width="13.140625" customWidth="1"/>
    <col min="5381" max="5381" width="13.42578125" customWidth="1"/>
    <col min="5382" max="5382" width="13.140625" customWidth="1"/>
    <col min="5383" max="5383" width="11.85546875" customWidth="1"/>
    <col min="5384" max="5384" width="10" customWidth="1"/>
    <col min="5632" max="5632" width="6.7109375" customWidth="1"/>
    <col min="5633" max="5633" width="29.28515625" customWidth="1"/>
    <col min="5634" max="5634" width="21.28515625" customWidth="1"/>
    <col min="5635" max="5635" width="36" customWidth="1"/>
    <col min="5636" max="5636" width="13.140625" customWidth="1"/>
    <col min="5637" max="5637" width="13.42578125" customWidth="1"/>
    <col min="5638" max="5638" width="13.140625" customWidth="1"/>
    <col min="5639" max="5639" width="11.85546875" customWidth="1"/>
    <col min="5640" max="5640" width="10" customWidth="1"/>
    <col min="5888" max="5888" width="6.7109375" customWidth="1"/>
    <col min="5889" max="5889" width="29.28515625" customWidth="1"/>
    <col min="5890" max="5890" width="21.28515625" customWidth="1"/>
    <col min="5891" max="5891" width="36" customWidth="1"/>
    <col min="5892" max="5892" width="13.140625" customWidth="1"/>
    <col min="5893" max="5893" width="13.42578125" customWidth="1"/>
    <col min="5894" max="5894" width="13.140625" customWidth="1"/>
    <col min="5895" max="5895" width="11.85546875" customWidth="1"/>
    <col min="5896" max="5896" width="10" customWidth="1"/>
    <col min="6144" max="6144" width="6.7109375" customWidth="1"/>
    <col min="6145" max="6145" width="29.28515625" customWidth="1"/>
    <col min="6146" max="6146" width="21.28515625" customWidth="1"/>
    <col min="6147" max="6147" width="36" customWidth="1"/>
    <col min="6148" max="6148" width="13.140625" customWidth="1"/>
    <col min="6149" max="6149" width="13.42578125" customWidth="1"/>
    <col min="6150" max="6150" width="13.140625" customWidth="1"/>
    <col min="6151" max="6151" width="11.85546875" customWidth="1"/>
    <col min="6152" max="6152" width="10" customWidth="1"/>
    <col min="6400" max="6400" width="6.7109375" customWidth="1"/>
    <col min="6401" max="6401" width="29.28515625" customWidth="1"/>
    <col min="6402" max="6402" width="21.28515625" customWidth="1"/>
    <col min="6403" max="6403" width="36" customWidth="1"/>
    <col min="6404" max="6404" width="13.140625" customWidth="1"/>
    <col min="6405" max="6405" width="13.42578125" customWidth="1"/>
    <col min="6406" max="6406" width="13.140625" customWidth="1"/>
    <col min="6407" max="6407" width="11.85546875" customWidth="1"/>
    <col min="6408" max="6408" width="10" customWidth="1"/>
    <col min="6656" max="6656" width="6.7109375" customWidth="1"/>
    <col min="6657" max="6657" width="29.28515625" customWidth="1"/>
    <col min="6658" max="6658" width="21.28515625" customWidth="1"/>
    <col min="6659" max="6659" width="36" customWidth="1"/>
    <col min="6660" max="6660" width="13.140625" customWidth="1"/>
    <col min="6661" max="6661" width="13.42578125" customWidth="1"/>
    <col min="6662" max="6662" width="13.140625" customWidth="1"/>
    <col min="6663" max="6663" width="11.85546875" customWidth="1"/>
    <col min="6664" max="6664" width="10" customWidth="1"/>
    <col min="6912" max="6912" width="6.7109375" customWidth="1"/>
    <col min="6913" max="6913" width="29.28515625" customWidth="1"/>
    <col min="6914" max="6914" width="21.28515625" customWidth="1"/>
    <col min="6915" max="6915" width="36" customWidth="1"/>
    <col min="6916" max="6916" width="13.140625" customWidth="1"/>
    <col min="6917" max="6917" width="13.42578125" customWidth="1"/>
    <col min="6918" max="6918" width="13.140625" customWidth="1"/>
    <col min="6919" max="6919" width="11.85546875" customWidth="1"/>
    <col min="6920" max="6920" width="10" customWidth="1"/>
    <col min="7168" max="7168" width="6.7109375" customWidth="1"/>
    <col min="7169" max="7169" width="29.28515625" customWidth="1"/>
    <col min="7170" max="7170" width="21.28515625" customWidth="1"/>
    <col min="7171" max="7171" width="36" customWidth="1"/>
    <col min="7172" max="7172" width="13.140625" customWidth="1"/>
    <col min="7173" max="7173" width="13.42578125" customWidth="1"/>
    <col min="7174" max="7174" width="13.140625" customWidth="1"/>
    <col min="7175" max="7175" width="11.85546875" customWidth="1"/>
    <col min="7176" max="7176" width="10" customWidth="1"/>
    <col min="7424" max="7424" width="6.7109375" customWidth="1"/>
    <col min="7425" max="7425" width="29.28515625" customWidth="1"/>
    <col min="7426" max="7426" width="21.28515625" customWidth="1"/>
    <col min="7427" max="7427" width="36" customWidth="1"/>
    <col min="7428" max="7428" width="13.140625" customWidth="1"/>
    <col min="7429" max="7429" width="13.42578125" customWidth="1"/>
    <col min="7430" max="7430" width="13.140625" customWidth="1"/>
    <col min="7431" max="7431" width="11.85546875" customWidth="1"/>
    <col min="7432" max="7432" width="10" customWidth="1"/>
    <col min="7680" max="7680" width="6.7109375" customWidth="1"/>
    <col min="7681" max="7681" width="29.28515625" customWidth="1"/>
    <col min="7682" max="7682" width="21.28515625" customWidth="1"/>
    <col min="7683" max="7683" width="36" customWidth="1"/>
    <col min="7684" max="7684" width="13.140625" customWidth="1"/>
    <col min="7685" max="7685" width="13.42578125" customWidth="1"/>
    <col min="7686" max="7686" width="13.140625" customWidth="1"/>
    <col min="7687" max="7687" width="11.85546875" customWidth="1"/>
    <col min="7688" max="7688" width="10" customWidth="1"/>
    <col min="7936" max="7936" width="6.7109375" customWidth="1"/>
    <col min="7937" max="7937" width="29.28515625" customWidth="1"/>
    <col min="7938" max="7938" width="21.28515625" customWidth="1"/>
    <col min="7939" max="7939" width="36" customWidth="1"/>
    <col min="7940" max="7940" width="13.140625" customWidth="1"/>
    <col min="7941" max="7941" width="13.42578125" customWidth="1"/>
    <col min="7942" max="7942" width="13.140625" customWidth="1"/>
    <col min="7943" max="7943" width="11.85546875" customWidth="1"/>
    <col min="7944" max="7944" width="10" customWidth="1"/>
    <col min="8192" max="8192" width="6.7109375" customWidth="1"/>
    <col min="8193" max="8193" width="29.28515625" customWidth="1"/>
    <col min="8194" max="8194" width="21.28515625" customWidth="1"/>
    <col min="8195" max="8195" width="36" customWidth="1"/>
    <col min="8196" max="8196" width="13.140625" customWidth="1"/>
    <col min="8197" max="8197" width="13.42578125" customWidth="1"/>
    <col min="8198" max="8198" width="13.140625" customWidth="1"/>
    <col min="8199" max="8199" width="11.85546875" customWidth="1"/>
    <col min="8200" max="8200" width="10" customWidth="1"/>
    <col min="8448" max="8448" width="6.7109375" customWidth="1"/>
    <col min="8449" max="8449" width="29.28515625" customWidth="1"/>
    <col min="8450" max="8450" width="21.28515625" customWidth="1"/>
    <col min="8451" max="8451" width="36" customWidth="1"/>
    <col min="8452" max="8452" width="13.140625" customWidth="1"/>
    <col min="8453" max="8453" width="13.42578125" customWidth="1"/>
    <col min="8454" max="8454" width="13.140625" customWidth="1"/>
    <col min="8455" max="8455" width="11.85546875" customWidth="1"/>
    <col min="8456" max="8456" width="10" customWidth="1"/>
    <col min="8704" max="8704" width="6.7109375" customWidth="1"/>
    <col min="8705" max="8705" width="29.28515625" customWidth="1"/>
    <col min="8706" max="8706" width="21.28515625" customWidth="1"/>
    <col min="8707" max="8707" width="36" customWidth="1"/>
    <col min="8708" max="8708" width="13.140625" customWidth="1"/>
    <col min="8709" max="8709" width="13.42578125" customWidth="1"/>
    <col min="8710" max="8710" width="13.140625" customWidth="1"/>
    <col min="8711" max="8711" width="11.85546875" customWidth="1"/>
    <col min="8712" max="8712" width="10" customWidth="1"/>
    <col min="8960" max="8960" width="6.7109375" customWidth="1"/>
    <col min="8961" max="8961" width="29.28515625" customWidth="1"/>
    <col min="8962" max="8962" width="21.28515625" customWidth="1"/>
    <col min="8963" max="8963" width="36" customWidth="1"/>
    <col min="8964" max="8964" width="13.140625" customWidth="1"/>
    <col min="8965" max="8965" width="13.42578125" customWidth="1"/>
    <col min="8966" max="8966" width="13.140625" customWidth="1"/>
    <col min="8967" max="8967" width="11.85546875" customWidth="1"/>
    <col min="8968" max="8968" width="10" customWidth="1"/>
    <col min="9216" max="9216" width="6.7109375" customWidth="1"/>
    <col min="9217" max="9217" width="29.28515625" customWidth="1"/>
    <col min="9218" max="9218" width="21.28515625" customWidth="1"/>
    <col min="9219" max="9219" width="36" customWidth="1"/>
    <col min="9220" max="9220" width="13.140625" customWidth="1"/>
    <col min="9221" max="9221" width="13.42578125" customWidth="1"/>
    <col min="9222" max="9222" width="13.140625" customWidth="1"/>
    <col min="9223" max="9223" width="11.85546875" customWidth="1"/>
    <col min="9224" max="9224" width="10" customWidth="1"/>
    <col min="9472" max="9472" width="6.7109375" customWidth="1"/>
    <col min="9473" max="9473" width="29.28515625" customWidth="1"/>
    <col min="9474" max="9474" width="21.28515625" customWidth="1"/>
    <col min="9475" max="9475" width="36" customWidth="1"/>
    <col min="9476" max="9476" width="13.140625" customWidth="1"/>
    <col min="9477" max="9477" width="13.42578125" customWidth="1"/>
    <col min="9478" max="9478" width="13.140625" customWidth="1"/>
    <col min="9479" max="9479" width="11.85546875" customWidth="1"/>
    <col min="9480" max="9480" width="10" customWidth="1"/>
    <col min="9728" max="9728" width="6.7109375" customWidth="1"/>
    <col min="9729" max="9729" width="29.28515625" customWidth="1"/>
    <col min="9730" max="9730" width="21.28515625" customWidth="1"/>
    <col min="9731" max="9731" width="36" customWidth="1"/>
    <col min="9732" max="9732" width="13.140625" customWidth="1"/>
    <col min="9733" max="9733" width="13.42578125" customWidth="1"/>
    <col min="9734" max="9734" width="13.140625" customWidth="1"/>
    <col min="9735" max="9735" width="11.85546875" customWidth="1"/>
    <col min="9736" max="9736" width="10" customWidth="1"/>
    <col min="9984" max="9984" width="6.7109375" customWidth="1"/>
    <col min="9985" max="9985" width="29.28515625" customWidth="1"/>
    <col min="9986" max="9986" width="21.28515625" customWidth="1"/>
    <col min="9987" max="9987" width="36" customWidth="1"/>
    <col min="9988" max="9988" width="13.140625" customWidth="1"/>
    <col min="9989" max="9989" width="13.42578125" customWidth="1"/>
    <col min="9990" max="9990" width="13.140625" customWidth="1"/>
    <col min="9991" max="9991" width="11.85546875" customWidth="1"/>
    <col min="9992" max="9992" width="10" customWidth="1"/>
    <col min="10240" max="10240" width="6.7109375" customWidth="1"/>
    <col min="10241" max="10241" width="29.28515625" customWidth="1"/>
    <col min="10242" max="10242" width="21.28515625" customWidth="1"/>
    <col min="10243" max="10243" width="36" customWidth="1"/>
    <col min="10244" max="10244" width="13.140625" customWidth="1"/>
    <col min="10245" max="10245" width="13.42578125" customWidth="1"/>
    <col min="10246" max="10246" width="13.140625" customWidth="1"/>
    <col min="10247" max="10247" width="11.85546875" customWidth="1"/>
    <col min="10248" max="10248" width="10" customWidth="1"/>
    <col min="10496" max="10496" width="6.7109375" customWidth="1"/>
    <col min="10497" max="10497" width="29.28515625" customWidth="1"/>
    <col min="10498" max="10498" width="21.28515625" customWidth="1"/>
    <col min="10499" max="10499" width="36" customWidth="1"/>
    <col min="10500" max="10500" width="13.140625" customWidth="1"/>
    <col min="10501" max="10501" width="13.42578125" customWidth="1"/>
    <col min="10502" max="10502" width="13.140625" customWidth="1"/>
    <col min="10503" max="10503" width="11.85546875" customWidth="1"/>
    <col min="10504" max="10504" width="10" customWidth="1"/>
    <col min="10752" max="10752" width="6.7109375" customWidth="1"/>
    <col min="10753" max="10753" width="29.28515625" customWidth="1"/>
    <col min="10754" max="10754" width="21.28515625" customWidth="1"/>
    <col min="10755" max="10755" width="36" customWidth="1"/>
    <col min="10756" max="10756" width="13.140625" customWidth="1"/>
    <col min="10757" max="10757" width="13.42578125" customWidth="1"/>
    <col min="10758" max="10758" width="13.140625" customWidth="1"/>
    <col min="10759" max="10759" width="11.85546875" customWidth="1"/>
    <col min="10760" max="10760" width="10" customWidth="1"/>
    <col min="11008" max="11008" width="6.7109375" customWidth="1"/>
    <col min="11009" max="11009" width="29.28515625" customWidth="1"/>
    <col min="11010" max="11010" width="21.28515625" customWidth="1"/>
    <col min="11011" max="11011" width="36" customWidth="1"/>
    <col min="11012" max="11012" width="13.140625" customWidth="1"/>
    <col min="11013" max="11013" width="13.42578125" customWidth="1"/>
    <col min="11014" max="11014" width="13.140625" customWidth="1"/>
    <col min="11015" max="11015" width="11.85546875" customWidth="1"/>
    <col min="11016" max="11016" width="10" customWidth="1"/>
    <col min="11264" max="11264" width="6.7109375" customWidth="1"/>
    <col min="11265" max="11265" width="29.28515625" customWidth="1"/>
    <col min="11266" max="11266" width="21.28515625" customWidth="1"/>
    <col min="11267" max="11267" width="36" customWidth="1"/>
    <col min="11268" max="11268" width="13.140625" customWidth="1"/>
    <col min="11269" max="11269" width="13.42578125" customWidth="1"/>
    <col min="11270" max="11270" width="13.140625" customWidth="1"/>
    <col min="11271" max="11271" width="11.85546875" customWidth="1"/>
    <col min="11272" max="11272" width="10" customWidth="1"/>
    <col min="11520" max="11520" width="6.7109375" customWidth="1"/>
    <col min="11521" max="11521" width="29.28515625" customWidth="1"/>
    <col min="11522" max="11522" width="21.28515625" customWidth="1"/>
    <col min="11523" max="11523" width="36" customWidth="1"/>
    <col min="11524" max="11524" width="13.140625" customWidth="1"/>
    <col min="11525" max="11525" width="13.42578125" customWidth="1"/>
    <col min="11526" max="11526" width="13.140625" customWidth="1"/>
    <col min="11527" max="11527" width="11.85546875" customWidth="1"/>
    <col min="11528" max="11528" width="10" customWidth="1"/>
    <col min="11776" max="11776" width="6.7109375" customWidth="1"/>
    <col min="11777" max="11777" width="29.28515625" customWidth="1"/>
    <col min="11778" max="11778" width="21.28515625" customWidth="1"/>
    <col min="11779" max="11779" width="36" customWidth="1"/>
    <col min="11780" max="11780" width="13.140625" customWidth="1"/>
    <col min="11781" max="11781" width="13.42578125" customWidth="1"/>
    <col min="11782" max="11782" width="13.140625" customWidth="1"/>
    <col min="11783" max="11783" width="11.85546875" customWidth="1"/>
    <col min="11784" max="11784" width="10" customWidth="1"/>
    <col min="12032" max="12032" width="6.7109375" customWidth="1"/>
    <col min="12033" max="12033" width="29.28515625" customWidth="1"/>
    <col min="12034" max="12034" width="21.28515625" customWidth="1"/>
    <col min="12035" max="12035" width="36" customWidth="1"/>
    <col min="12036" max="12036" width="13.140625" customWidth="1"/>
    <col min="12037" max="12037" width="13.42578125" customWidth="1"/>
    <col min="12038" max="12038" width="13.140625" customWidth="1"/>
    <col min="12039" max="12039" width="11.85546875" customWidth="1"/>
    <col min="12040" max="12040" width="10" customWidth="1"/>
    <col min="12288" max="12288" width="6.7109375" customWidth="1"/>
    <col min="12289" max="12289" width="29.28515625" customWidth="1"/>
    <col min="12290" max="12290" width="21.28515625" customWidth="1"/>
    <col min="12291" max="12291" width="36" customWidth="1"/>
    <col min="12292" max="12292" width="13.140625" customWidth="1"/>
    <col min="12293" max="12293" width="13.42578125" customWidth="1"/>
    <col min="12294" max="12294" width="13.140625" customWidth="1"/>
    <col min="12295" max="12295" width="11.85546875" customWidth="1"/>
    <col min="12296" max="12296" width="10" customWidth="1"/>
    <col min="12544" max="12544" width="6.7109375" customWidth="1"/>
    <col min="12545" max="12545" width="29.28515625" customWidth="1"/>
    <col min="12546" max="12546" width="21.28515625" customWidth="1"/>
    <col min="12547" max="12547" width="36" customWidth="1"/>
    <col min="12548" max="12548" width="13.140625" customWidth="1"/>
    <col min="12549" max="12549" width="13.42578125" customWidth="1"/>
    <col min="12550" max="12550" width="13.140625" customWidth="1"/>
    <col min="12551" max="12551" width="11.85546875" customWidth="1"/>
    <col min="12552" max="12552" width="10" customWidth="1"/>
    <col min="12800" max="12800" width="6.7109375" customWidth="1"/>
    <col min="12801" max="12801" width="29.28515625" customWidth="1"/>
    <col min="12802" max="12802" width="21.28515625" customWidth="1"/>
    <col min="12803" max="12803" width="36" customWidth="1"/>
    <col min="12804" max="12804" width="13.140625" customWidth="1"/>
    <col min="12805" max="12805" width="13.42578125" customWidth="1"/>
    <col min="12806" max="12806" width="13.140625" customWidth="1"/>
    <col min="12807" max="12807" width="11.85546875" customWidth="1"/>
    <col min="12808" max="12808" width="10" customWidth="1"/>
    <col min="13056" max="13056" width="6.7109375" customWidth="1"/>
    <col min="13057" max="13057" width="29.28515625" customWidth="1"/>
    <col min="13058" max="13058" width="21.28515625" customWidth="1"/>
    <col min="13059" max="13059" width="36" customWidth="1"/>
    <col min="13060" max="13060" width="13.140625" customWidth="1"/>
    <col min="13061" max="13061" width="13.42578125" customWidth="1"/>
    <col min="13062" max="13062" width="13.140625" customWidth="1"/>
    <col min="13063" max="13063" width="11.85546875" customWidth="1"/>
    <col min="13064" max="13064" width="10" customWidth="1"/>
    <col min="13312" max="13312" width="6.7109375" customWidth="1"/>
    <col min="13313" max="13313" width="29.28515625" customWidth="1"/>
    <col min="13314" max="13314" width="21.28515625" customWidth="1"/>
    <col min="13315" max="13315" width="36" customWidth="1"/>
    <col min="13316" max="13316" width="13.140625" customWidth="1"/>
    <col min="13317" max="13317" width="13.42578125" customWidth="1"/>
    <col min="13318" max="13318" width="13.140625" customWidth="1"/>
    <col min="13319" max="13319" width="11.85546875" customWidth="1"/>
    <col min="13320" max="13320" width="10" customWidth="1"/>
    <col min="13568" max="13568" width="6.7109375" customWidth="1"/>
    <col min="13569" max="13569" width="29.28515625" customWidth="1"/>
    <col min="13570" max="13570" width="21.28515625" customWidth="1"/>
    <col min="13571" max="13571" width="36" customWidth="1"/>
    <col min="13572" max="13572" width="13.140625" customWidth="1"/>
    <col min="13573" max="13573" width="13.42578125" customWidth="1"/>
    <col min="13574" max="13574" width="13.140625" customWidth="1"/>
    <col min="13575" max="13575" width="11.85546875" customWidth="1"/>
    <col min="13576" max="13576" width="10" customWidth="1"/>
    <col min="13824" max="13824" width="6.7109375" customWidth="1"/>
    <col min="13825" max="13825" width="29.28515625" customWidth="1"/>
    <col min="13826" max="13826" width="21.28515625" customWidth="1"/>
    <col min="13827" max="13827" width="36" customWidth="1"/>
    <col min="13828" max="13828" width="13.140625" customWidth="1"/>
    <col min="13829" max="13829" width="13.42578125" customWidth="1"/>
    <col min="13830" max="13830" width="13.140625" customWidth="1"/>
    <col min="13831" max="13831" width="11.85546875" customWidth="1"/>
    <col min="13832" max="13832" width="10" customWidth="1"/>
    <col min="14080" max="14080" width="6.7109375" customWidth="1"/>
    <col min="14081" max="14081" width="29.28515625" customWidth="1"/>
    <col min="14082" max="14082" width="21.28515625" customWidth="1"/>
    <col min="14083" max="14083" width="36" customWidth="1"/>
    <col min="14084" max="14084" width="13.140625" customWidth="1"/>
    <col min="14085" max="14085" width="13.42578125" customWidth="1"/>
    <col min="14086" max="14086" width="13.140625" customWidth="1"/>
    <col min="14087" max="14087" width="11.85546875" customWidth="1"/>
    <col min="14088" max="14088" width="10" customWidth="1"/>
    <col min="14336" max="14336" width="6.7109375" customWidth="1"/>
    <col min="14337" max="14337" width="29.28515625" customWidth="1"/>
    <col min="14338" max="14338" width="21.28515625" customWidth="1"/>
    <col min="14339" max="14339" width="36" customWidth="1"/>
    <col min="14340" max="14340" width="13.140625" customWidth="1"/>
    <col min="14341" max="14341" width="13.42578125" customWidth="1"/>
    <col min="14342" max="14342" width="13.140625" customWidth="1"/>
    <col min="14343" max="14343" width="11.85546875" customWidth="1"/>
    <col min="14344" max="14344" width="10" customWidth="1"/>
    <col min="14592" max="14592" width="6.7109375" customWidth="1"/>
    <col min="14593" max="14593" width="29.28515625" customWidth="1"/>
    <col min="14594" max="14594" width="21.28515625" customWidth="1"/>
    <col min="14595" max="14595" width="36" customWidth="1"/>
    <col min="14596" max="14596" width="13.140625" customWidth="1"/>
    <col min="14597" max="14597" width="13.42578125" customWidth="1"/>
    <col min="14598" max="14598" width="13.140625" customWidth="1"/>
    <col min="14599" max="14599" width="11.85546875" customWidth="1"/>
    <col min="14600" max="14600" width="10" customWidth="1"/>
    <col min="14848" max="14848" width="6.7109375" customWidth="1"/>
    <col min="14849" max="14849" width="29.28515625" customWidth="1"/>
    <col min="14850" max="14850" width="21.28515625" customWidth="1"/>
    <col min="14851" max="14851" width="36" customWidth="1"/>
    <col min="14852" max="14852" width="13.140625" customWidth="1"/>
    <col min="14853" max="14853" width="13.42578125" customWidth="1"/>
    <col min="14854" max="14854" width="13.140625" customWidth="1"/>
    <col min="14855" max="14855" width="11.85546875" customWidth="1"/>
    <col min="14856" max="14856" width="10" customWidth="1"/>
    <col min="15104" max="15104" width="6.7109375" customWidth="1"/>
    <col min="15105" max="15105" width="29.28515625" customWidth="1"/>
    <col min="15106" max="15106" width="21.28515625" customWidth="1"/>
    <col min="15107" max="15107" width="36" customWidth="1"/>
    <col min="15108" max="15108" width="13.140625" customWidth="1"/>
    <col min="15109" max="15109" width="13.42578125" customWidth="1"/>
    <col min="15110" max="15110" width="13.140625" customWidth="1"/>
    <col min="15111" max="15111" width="11.85546875" customWidth="1"/>
    <col min="15112" max="15112" width="10" customWidth="1"/>
    <col min="15360" max="15360" width="6.7109375" customWidth="1"/>
    <col min="15361" max="15361" width="29.28515625" customWidth="1"/>
    <col min="15362" max="15362" width="21.28515625" customWidth="1"/>
    <col min="15363" max="15363" width="36" customWidth="1"/>
    <col min="15364" max="15364" width="13.140625" customWidth="1"/>
    <col min="15365" max="15365" width="13.42578125" customWidth="1"/>
    <col min="15366" max="15366" width="13.140625" customWidth="1"/>
    <col min="15367" max="15367" width="11.85546875" customWidth="1"/>
    <col min="15368" max="15368" width="10" customWidth="1"/>
    <col min="15616" max="15616" width="6.7109375" customWidth="1"/>
    <col min="15617" max="15617" width="29.28515625" customWidth="1"/>
    <col min="15618" max="15618" width="21.28515625" customWidth="1"/>
    <col min="15619" max="15619" width="36" customWidth="1"/>
    <col min="15620" max="15620" width="13.140625" customWidth="1"/>
    <col min="15621" max="15621" width="13.42578125" customWidth="1"/>
    <col min="15622" max="15622" width="13.140625" customWidth="1"/>
    <col min="15623" max="15623" width="11.85546875" customWidth="1"/>
    <col min="15624" max="15624" width="10" customWidth="1"/>
    <col min="15872" max="15872" width="6.7109375" customWidth="1"/>
    <col min="15873" max="15873" width="29.28515625" customWidth="1"/>
    <col min="15874" max="15874" width="21.28515625" customWidth="1"/>
    <col min="15875" max="15875" width="36" customWidth="1"/>
    <col min="15876" max="15876" width="13.140625" customWidth="1"/>
    <col min="15877" max="15877" width="13.42578125" customWidth="1"/>
    <col min="15878" max="15878" width="13.140625" customWidth="1"/>
    <col min="15879" max="15879" width="11.85546875" customWidth="1"/>
    <col min="15880" max="15880" width="10" customWidth="1"/>
    <col min="16128" max="16128" width="6.7109375" customWidth="1"/>
    <col min="16129" max="16129" width="29.28515625" customWidth="1"/>
    <col min="16130" max="16130" width="21.28515625" customWidth="1"/>
    <col min="16131" max="16131" width="36" customWidth="1"/>
    <col min="16132" max="16132" width="13.140625" customWidth="1"/>
    <col min="16133" max="16133" width="13.42578125" customWidth="1"/>
    <col min="16134" max="16134" width="13.140625" customWidth="1"/>
    <col min="16135" max="16135" width="11.85546875" customWidth="1"/>
    <col min="16136" max="16136" width="10" customWidth="1"/>
  </cols>
  <sheetData>
    <row r="1" spans="1:5" ht="17.25" customHeight="1">
      <c r="A1" s="42" t="s">
        <v>29</v>
      </c>
    </row>
    <row r="2" spans="1:5" ht="13.5" customHeight="1"/>
    <row r="3" spans="1:5" ht="20.25" customHeight="1">
      <c r="A3" s="82" t="s">
        <v>37</v>
      </c>
      <c r="B3" s="82"/>
      <c r="C3" s="82"/>
      <c r="D3" s="82"/>
      <c r="E3" s="82"/>
    </row>
    <row r="5" spans="1:5" s="40" customFormat="1" ht="38.25" customHeight="1">
      <c r="A5" s="70" t="s">
        <v>1</v>
      </c>
      <c r="B5" s="70" t="s">
        <v>38</v>
      </c>
      <c r="C5" s="70" t="s">
        <v>39</v>
      </c>
      <c r="D5" s="70" t="s">
        <v>40</v>
      </c>
      <c r="E5" s="70" t="s">
        <v>41</v>
      </c>
    </row>
    <row r="6" spans="1:5" ht="35.25" customHeight="1">
      <c r="A6" s="3">
        <v>1</v>
      </c>
      <c r="B6" s="4" t="s">
        <v>42</v>
      </c>
      <c r="C6" s="4" t="s">
        <v>46</v>
      </c>
      <c r="D6" s="43">
        <v>100000</v>
      </c>
      <c r="E6" s="6"/>
    </row>
    <row r="7" spans="1:5" ht="35.25" customHeight="1">
      <c r="A7" s="47">
        <v>2</v>
      </c>
      <c r="B7" s="4" t="s">
        <v>42</v>
      </c>
      <c r="C7" s="4" t="s">
        <v>47</v>
      </c>
      <c r="D7" s="43">
        <v>100000</v>
      </c>
      <c r="E7" s="6"/>
    </row>
    <row r="8" spans="1:5" ht="35.25" customHeight="1">
      <c r="A8" s="7">
        <v>3</v>
      </c>
      <c r="B8" s="4" t="s">
        <v>6</v>
      </c>
      <c r="C8" s="4" t="s">
        <v>45</v>
      </c>
      <c r="D8" s="43">
        <v>100000</v>
      </c>
      <c r="E8" s="6"/>
    </row>
    <row r="9" spans="1:5" ht="35.25" customHeight="1">
      <c r="A9" s="47">
        <v>4</v>
      </c>
      <c r="B9" s="4" t="s">
        <v>28</v>
      </c>
      <c r="C9" s="4" t="s">
        <v>44</v>
      </c>
      <c r="D9" s="43">
        <v>100000</v>
      </c>
      <c r="E9" s="6"/>
    </row>
    <row r="10" spans="1:5" ht="35.25" customHeight="1">
      <c r="A10" s="7">
        <v>5</v>
      </c>
      <c r="B10" s="4" t="s">
        <v>12</v>
      </c>
      <c r="C10" s="4" t="s">
        <v>49</v>
      </c>
      <c r="D10" s="43">
        <v>100000</v>
      </c>
      <c r="E10" s="6"/>
    </row>
    <row r="11" spans="1:5" ht="35.25" customHeight="1">
      <c r="A11" s="47">
        <v>6</v>
      </c>
      <c r="B11" s="4" t="s">
        <v>8</v>
      </c>
      <c r="C11" s="4" t="s">
        <v>48</v>
      </c>
      <c r="D11" s="43">
        <v>100000</v>
      </c>
      <c r="E11" s="6"/>
    </row>
    <row r="12" spans="1:5" ht="35.25" customHeight="1">
      <c r="A12" s="7">
        <v>7</v>
      </c>
      <c r="B12" s="4" t="s">
        <v>7</v>
      </c>
      <c r="C12" s="4" t="s">
        <v>43</v>
      </c>
      <c r="D12" s="43">
        <v>100000</v>
      </c>
      <c r="E12" s="6"/>
    </row>
    <row r="13" spans="1:5" ht="21.75" customHeight="1">
      <c r="A13" s="7"/>
      <c r="B13" s="4"/>
      <c r="C13" s="4"/>
      <c r="D13" s="43"/>
      <c r="E13" s="6"/>
    </row>
    <row r="14" spans="1:5" s="40" customFormat="1" ht="17.25">
      <c r="A14" s="13"/>
      <c r="B14" s="14" t="s">
        <v>9</v>
      </c>
      <c r="C14" s="14"/>
      <c r="D14" s="48">
        <f>SUM(D6:D13)</f>
        <v>700000</v>
      </c>
      <c r="E14" s="16"/>
    </row>
    <row r="15" spans="1:5">
      <c r="A15" s="18"/>
    </row>
    <row r="16" spans="1:5">
      <c r="A16" s="18"/>
    </row>
    <row r="17" spans="1:8">
      <c r="A17" s="18"/>
      <c r="D17" s="40"/>
      <c r="E17" s="44" t="s">
        <v>50</v>
      </c>
    </row>
    <row r="18" spans="1:8">
      <c r="A18" s="18"/>
      <c r="D18"/>
      <c r="E18" s="40" t="s">
        <v>32</v>
      </c>
    </row>
    <row r="19" spans="1:8">
      <c r="A19" s="18"/>
      <c r="B19" s="40" t="s">
        <v>10</v>
      </c>
      <c r="C19" s="40"/>
      <c r="D19"/>
      <c r="E19" s="40" t="s">
        <v>33</v>
      </c>
    </row>
    <row r="20" spans="1:8">
      <c r="A20" s="18"/>
      <c r="D20"/>
      <c r="E20" s="45"/>
    </row>
    <row r="21" spans="1:8">
      <c r="A21" s="18"/>
      <c r="D21"/>
      <c r="E21" s="45"/>
    </row>
    <row r="22" spans="1:8">
      <c r="D22" s="46"/>
      <c r="E22" s="45"/>
      <c r="H22" s="46"/>
    </row>
    <row r="23" spans="1:8">
      <c r="E23" s="46"/>
    </row>
    <row r="24" spans="1:8">
      <c r="B24" s="41" t="s">
        <v>11</v>
      </c>
      <c r="C24" s="41"/>
      <c r="E24" s="40" t="s">
        <v>34</v>
      </c>
    </row>
    <row r="25" spans="1:8">
      <c r="G25" s="19"/>
    </row>
  </sheetData>
  <mergeCells count="1">
    <mergeCell ref="A3:E3"/>
  </mergeCells>
  <pageMargins left="0.7" right="0.7" top="0.75" bottom="0.75" header="0.3" footer="0.3"/>
  <pageSetup paperSize="9" scale="82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G36"/>
  <sheetViews>
    <sheetView topLeftCell="A3" workbookViewId="0">
      <selection activeCell="C15" sqref="C15"/>
    </sheetView>
  </sheetViews>
  <sheetFormatPr defaultRowHeight="12.75"/>
  <cols>
    <col min="1" max="1" width="6.7109375" style="58" customWidth="1"/>
    <col min="2" max="2" width="22.28515625" style="62" customWidth="1"/>
    <col min="3" max="3" width="21.28515625" style="1" customWidth="1"/>
    <col min="4" max="4" width="37" customWidth="1"/>
    <col min="5" max="5" width="13.140625" customWidth="1"/>
    <col min="6" max="6" width="11.85546875" customWidth="1"/>
    <col min="7" max="7" width="10" customWidth="1"/>
    <col min="255" max="255" width="6.7109375" customWidth="1"/>
    <col min="256" max="256" width="29.28515625" customWidth="1"/>
    <col min="257" max="257" width="21.28515625" customWidth="1"/>
    <col min="258" max="258" width="36" customWidth="1"/>
    <col min="259" max="259" width="13.140625" customWidth="1"/>
    <col min="260" max="260" width="13.42578125" customWidth="1"/>
    <col min="261" max="261" width="13.140625" customWidth="1"/>
    <col min="262" max="262" width="11.85546875" customWidth="1"/>
    <col min="263" max="263" width="10" customWidth="1"/>
    <col min="511" max="511" width="6.7109375" customWidth="1"/>
    <col min="512" max="512" width="29.28515625" customWidth="1"/>
    <col min="513" max="513" width="21.28515625" customWidth="1"/>
    <col min="514" max="514" width="36" customWidth="1"/>
    <col min="515" max="515" width="13.140625" customWidth="1"/>
    <col min="516" max="516" width="13.42578125" customWidth="1"/>
    <col min="517" max="517" width="13.140625" customWidth="1"/>
    <col min="518" max="518" width="11.85546875" customWidth="1"/>
    <col min="519" max="519" width="10" customWidth="1"/>
    <col min="767" max="767" width="6.7109375" customWidth="1"/>
    <col min="768" max="768" width="29.28515625" customWidth="1"/>
    <col min="769" max="769" width="21.28515625" customWidth="1"/>
    <col min="770" max="770" width="36" customWidth="1"/>
    <col min="771" max="771" width="13.140625" customWidth="1"/>
    <col min="772" max="772" width="13.42578125" customWidth="1"/>
    <col min="773" max="773" width="13.140625" customWidth="1"/>
    <col min="774" max="774" width="11.85546875" customWidth="1"/>
    <col min="775" max="775" width="10" customWidth="1"/>
    <col min="1023" max="1023" width="6.7109375" customWidth="1"/>
    <col min="1024" max="1024" width="29.28515625" customWidth="1"/>
    <col min="1025" max="1025" width="21.28515625" customWidth="1"/>
    <col min="1026" max="1026" width="36" customWidth="1"/>
    <col min="1027" max="1027" width="13.140625" customWidth="1"/>
    <col min="1028" max="1028" width="13.42578125" customWidth="1"/>
    <col min="1029" max="1029" width="13.140625" customWidth="1"/>
    <col min="1030" max="1030" width="11.85546875" customWidth="1"/>
    <col min="1031" max="1031" width="10" customWidth="1"/>
    <col min="1279" max="1279" width="6.7109375" customWidth="1"/>
    <col min="1280" max="1280" width="29.28515625" customWidth="1"/>
    <col min="1281" max="1281" width="21.28515625" customWidth="1"/>
    <col min="1282" max="1282" width="36" customWidth="1"/>
    <col min="1283" max="1283" width="13.140625" customWidth="1"/>
    <col min="1284" max="1284" width="13.42578125" customWidth="1"/>
    <col min="1285" max="1285" width="13.140625" customWidth="1"/>
    <col min="1286" max="1286" width="11.85546875" customWidth="1"/>
    <col min="1287" max="1287" width="10" customWidth="1"/>
    <col min="1535" max="1535" width="6.7109375" customWidth="1"/>
    <col min="1536" max="1536" width="29.28515625" customWidth="1"/>
    <col min="1537" max="1537" width="21.28515625" customWidth="1"/>
    <col min="1538" max="1538" width="36" customWidth="1"/>
    <col min="1539" max="1539" width="13.140625" customWidth="1"/>
    <col min="1540" max="1540" width="13.42578125" customWidth="1"/>
    <col min="1541" max="1541" width="13.140625" customWidth="1"/>
    <col min="1542" max="1542" width="11.85546875" customWidth="1"/>
    <col min="1543" max="1543" width="10" customWidth="1"/>
    <col min="1791" max="1791" width="6.7109375" customWidth="1"/>
    <col min="1792" max="1792" width="29.28515625" customWidth="1"/>
    <col min="1793" max="1793" width="21.28515625" customWidth="1"/>
    <col min="1794" max="1794" width="36" customWidth="1"/>
    <col min="1795" max="1795" width="13.140625" customWidth="1"/>
    <col min="1796" max="1796" width="13.42578125" customWidth="1"/>
    <col min="1797" max="1797" width="13.140625" customWidth="1"/>
    <col min="1798" max="1798" width="11.85546875" customWidth="1"/>
    <col min="1799" max="1799" width="10" customWidth="1"/>
    <col min="2047" max="2047" width="6.7109375" customWidth="1"/>
    <col min="2048" max="2048" width="29.28515625" customWidth="1"/>
    <col min="2049" max="2049" width="21.28515625" customWidth="1"/>
    <col min="2050" max="2050" width="36" customWidth="1"/>
    <col min="2051" max="2051" width="13.140625" customWidth="1"/>
    <col min="2052" max="2052" width="13.42578125" customWidth="1"/>
    <col min="2053" max="2053" width="13.140625" customWidth="1"/>
    <col min="2054" max="2054" width="11.85546875" customWidth="1"/>
    <col min="2055" max="2055" width="10" customWidth="1"/>
    <col min="2303" max="2303" width="6.7109375" customWidth="1"/>
    <col min="2304" max="2304" width="29.28515625" customWidth="1"/>
    <col min="2305" max="2305" width="21.28515625" customWidth="1"/>
    <col min="2306" max="2306" width="36" customWidth="1"/>
    <col min="2307" max="2307" width="13.140625" customWidth="1"/>
    <col min="2308" max="2308" width="13.42578125" customWidth="1"/>
    <col min="2309" max="2309" width="13.140625" customWidth="1"/>
    <col min="2310" max="2310" width="11.85546875" customWidth="1"/>
    <col min="2311" max="2311" width="10" customWidth="1"/>
    <col min="2559" max="2559" width="6.7109375" customWidth="1"/>
    <col min="2560" max="2560" width="29.28515625" customWidth="1"/>
    <col min="2561" max="2561" width="21.28515625" customWidth="1"/>
    <col min="2562" max="2562" width="36" customWidth="1"/>
    <col min="2563" max="2563" width="13.140625" customWidth="1"/>
    <col min="2564" max="2564" width="13.42578125" customWidth="1"/>
    <col min="2565" max="2565" width="13.140625" customWidth="1"/>
    <col min="2566" max="2566" width="11.85546875" customWidth="1"/>
    <col min="2567" max="2567" width="10" customWidth="1"/>
    <col min="2815" max="2815" width="6.7109375" customWidth="1"/>
    <col min="2816" max="2816" width="29.28515625" customWidth="1"/>
    <col min="2817" max="2817" width="21.28515625" customWidth="1"/>
    <col min="2818" max="2818" width="36" customWidth="1"/>
    <col min="2819" max="2819" width="13.140625" customWidth="1"/>
    <col min="2820" max="2820" width="13.42578125" customWidth="1"/>
    <col min="2821" max="2821" width="13.140625" customWidth="1"/>
    <col min="2822" max="2822" width="11.85546875" customWidth="1"/>
    <col min="2823" max="2823" width="10" customWidth="1"/>
    <col min="3071" max="3071" width="6.7109375" customWidth="1"/>
    <col min="3072" max="3072" width="29.28515625" customWidth="1"/>
    <col min="3073" max="3073" width="21.28515625" customWidth="1"/>
    <col min="3074" max="3074" width="36" customWidth="1"/>
    <col min="3075" max="3075" width="13.140625" customWidth="1"/>
    <col min="3076" max="3076" width="13.42578125" customWidth="1"/>
    <col min="3077" max="3077" width="13.140625" customWidth="1"/>
    <col min="3078" max="3078" width="11.85546875" customWidth="1"/>
    <col min="3079" max="3079" width="10" customWidth="1"/>
    <col min="3327" max="3327" width="6.7109375" customWidth="1"/>
    <col min="3328" max="3328" width="29.28515625" customWidth="1"/>
    <col min="3329" max="3329" width="21.28515625" customWidth="1"/>
    <col min="3330" max="3330" width="36" customWidth="1"/>
    <col min="3331" max="3331" width="13.140625" customWidth="1"/>
    <col min="3332" max="3332" width="13.42578125" customWidth="1"/>
    <col min="3333" max="3333" width="13.140625" customWidth="1"/>
    <col min="3334" max="3334" width="11.85546875" customWidth="1"/>
    <col min="3335" max="3335" width="10" customWidth="1"/>
    <col min="3583" max="3583" width="6.7109375" customWidth="1"/>
    <col min="3584" max="3584" width="29.28515625" customWidth="1"/>
    <col min="3585" max="3585" width="21.28515625" customWidth="1"/>
    <col min="3586" max="3586" width="36" customWidth="1"/>
    <col min="3587" max="3587" width="13.140625" customWidth="1"/>
    <col min="3588" max="3588" width="13.42578125" customWidth="1"/>
    <col min="3589" max="3589" width="13.140625" customWidth="1"/>
    <col min="3590" max="3590" width="11.85546875" customWidth="1"/>
    <col min="3591" max="3591" width="10" customWidth="1"/>
    <col min="3839" max="3839" width="6.7109375" customWidth="1"/>
    <col min="3840" max="3840" width="29.28515625" customWidth="1"/>
    <col min="3841" max="3841" width="21.28515625" customWidth="1"/>
    <col min="3842" max="3842" width="36" customWidth="1"/>
    <col min="3843" max="3843" width="13.140625" customWidth="1"/>
    <col min="3844" max="3844" width="13.42578125" customWidth="1"/>
    <col min="3845" max="3845" width="13.140625" customWidth="1"/>
    <col min="3846" max="3846" width="11.85546875" customWidth="1"/>
    <col min="3847" max="3847" width="10" customWidth="1"/>
    <col min="4095" max="4095" width="6.7109375" customWidth="1"/>
    <col min="4096" max="4096" width="29.28515625" customWidth="1"/>
    <col min="4097" max="4097" width="21.28515625" customWidth="1"/>
    <col min="4098" max="4098" width="36" customWidth="1"/>
    <col min="4099" max="4099" width="13.140625" customWidth="1"/>
    <col min="4100" max="4100" width="13.42578125" customWidth="1"/>
    <col min="4101" max="4101" width="13.140625" customWidth="1"/>
    <col min="4102" max="4102" width="11.85546875" customWidth="1"/>
    <col min="4103" max="4103" width="10" customWidth="1"/>
    <col min="4351" max="4351" width="6.7109375" customWidth="1"/>
    <col min="4352" max="4352" width="29.28515625" customWidth="1"/>
    <col min="4353" max="4353" width="21.28515625" customWidth="1"/>
    <col min="4354" max="4354" width="36" customWidth="1"/>
    <col min="4355" max="4355" width="13.140625" customWidth="1"/>
    <col min="4356" max="4356" width="13.42578125" customWidth="1"/>
    <col min="4357" max="4357" width="13.140625" customWidth="1"/>
    <col min="4358" max="4358" width="11.85546875" customWidth="1"/>
    <col min="4359" max="4359" width="10" customWidth="1"/>
    <col min="4607" max="4607" width="6.7109375" customWidth="1"/>
    <col min="4608" max="4608" width="29.28515625" customWidth="1"/>
    <col min="4609" max="4609" width="21.28515625" customWidth="1"/>
    <col min="4610" max="4610" width="36" customWidth="1"/>
    <col min="4611" max="4611" width="13.140625" customWidth="1"/>
    <col min="4612" max="4612" width="13.42578125" customWidth="1"/>
    <col min="4613" max="4613" width="13.140625" customWidth="1"/>
    <col min="4614" max="4614" width="11.85546875" customWidth="1"/>
    <col min="4615" max="4615" width="10" customWidth="1"/>
    <col min="4863" max="4863" width="6.7109375" customWidth="1"/>
    <col min="4864" max="4864" width="29.28515625" customWidth="1"/>
    <col min="4865" max="4865" width="21.28515625" customWidth="1"/>
    <col min="4866" max="4866" width="36" customWidth="1"/>
    <col min="4867" max="4867" width="13.140625" customWidth="1"/>
    <col min="4868" max="4868" width="13.42578125" customWidth="1"/>
    <col min="4869" max="4869" width="13.140625" customWidth="1"/>
    <col min="4870" max="4870" width="11.85546875" customWidth="1"/>
    <col min="4871" max="4871" width="10" customWidth="1"/>
    <col min="5119" max="5119" width="6.7109375" customWidth="1"/>
    <col min="5120" max="5120" width="29.28515625" customWidth="1"/>
    <col min="5121" max="5121" width="21.28515625" customWidth="1"/>
    <col min="5122" max="5122" width="36" customWidth="1"/>
    <col min="5123" max="5123" width="13.140625" customWidth="1"/>
    <col min="5124" max="5124" width="13.42578125" customWidth="1"/>
    <col min="5125" max="5125" width="13.140625" customWidth="1"/>
    <col min="5126" max="5126" width="11.85546875" customWidth="1"/>
    <col min="5127" max="5127" width="10" customWidth="1"/>
    <col min="5375" max="5375" width="6.7109375" customWidth="1"/>
    <col min="5376" max="5376" width="29.28515625" customWidth="1"/>
    <col min="5377" max="5377" width="21.28515625" customWidth="1"/>
    <col min="5378" max="5378" width="36" customWidth="1"/>
    <col min="5379" max="5379" width="13.140625" customWidth="1"/>
    <col min="5380" max="5380" width="13.42578125" customWidth="1"/>
    <col min="5381" max="5381" width="13.140625" customWidth="1"/>
    <col min="5382" max="5382" width="11.85546875" customWidth="1"/>
    <col min="5383" max="5383" width="10" customWidth="1"/>
    <col min="5631" max="5631" width="6.7109375" customWidth="1"/>
    <col min="5632" max="5632" width="29.28515625" customWidth="1"/>
    <col min="5633" max="5633" width="21.28515625" customWidth="1"/>
    <col min="5634" max="5634" width="36" customWidth="1"/>
    <col min="5635" max="5635" width="13.140625" customWidth="1"/>
    <col min="5636" max="5636" width="13.42578125" customWidth="1"/>
    <col min="5637" max="5637" width="13.140625" customWidth="1"/>
    <col min="5638" max="5638" width="11.85546875" customWidth="1"/>
    <col min="5639" max="5639" width="10" customWidth="1"/>
    <col min="5887" max="5887" width="6.7109375" customWidth="1"/>
    <col min="5888" max="5888" width="29.28515625" customWidth="1"/>
    <col min="5889" max="5889" width="21.28515625" customWidth="1"/>
    <col min="5890" max="5890" width="36" customWidth="1"/>
    <col min="5891" max="5891" width="13.140625" customWidth="1"/>
    <col min="5892" max="5892" width="13.42578125" customWidth="1"/>
    <col min="5893" max="5893" width="13.140625" customWidth="1"/>
    <col min="5894" max="5894" width="11.85546875" customWidth="1"/>
    <col min="5895" max="5895" width="10" customWidth="1"/>
    <col min="6143" max="6143" width="6.7109375" customWidth="1"/>
    <col min="6144" max="6144" width="29.28515625" customWidth="1"/>
    <col min="6145" max="6145" width="21.28515625" customWidth="1"/>
    <col min="6146" max="6146" width="36" customWidth="1"/>
    <col min="6147" max="6147" width="13.140625" customWidth="1"/>
    <col min="6148" max="6148" width="13.42578125" customWidth="1"/>
    <col min="6149" max="6149" width="13.140625" customWidth="1"/>
    <col min="6150" max="6150" width="11.85546875" customWidth="1"/>
    <col min="6151" max="6151" width="10" customWidth="1"/>
    <col min="6399" max="6399" width="6.7109375" customWidth="1"/>
    <col min="6400" max="6400" width="29.28515625" customWidth="1"/>
    <col min="6401" max="6401" width="21.28515625" customWidth="1"/>
    <col min="6402" max="6402" width="36" customWidth="1"/>
    <col min="6403" max="6403" width="13.140625" customWidth="1"/>
    <col min="6404" max="6404" width="13.42578125" customWidth="1"/>
    <col min="6405" max="6405" width="13.140625" customWidth="1"/>
    <col min="6406" max="6406" width="11.85546875" customWidth="1"/>
    <col min="6407" max="6407" width="10" customWidth="1"/>
    <col min="6655" max="6655" width="6.7109375" customWidth="1"/>
    <col min="6656" max="6656" width="29.28515625" customWidth="1"/>
    <col min="6657" max="6657" width="21.28515625" customWidth="1"/>
    <col min="6658" max="6658" width="36" customWidth="1"/>
    <col min="6659" max="6659" width="13.140625" customWidth="1"/>
    <col min="6660" max="6660" width="13.42578125" customWidth="1"/>
    <col min="6661" max="6661" width="13.140625" customWidth="1"/>
    <col min="6662" max="6662" width="11.85546875" customWidth="1"/>
    <col min="6663" max="6663" width="10" customWidth="1"/>
    <col min="6911" max="6911" width="6.7109375" customWidth="1"/>
    <col min="6912" max="6912" width="29.28515625" customWidth="1"/>
    <col min="6913" max="6913" width="21.28515625" customWidth="1"/>
    <col min="6914" max="6914" width="36" customWidth="1"/>
    <col min="6915" max="6915" width="13.140625" customWidth="1"/>
    <col min="6916" max="6916" width="13.42578125" customWidth="1"/>
    <col min="6917" max="6917" width="13.140625" customWidth="1"/>
    <col min="6918" max="6918" width="11.85546875" customWidth="1"/>
    <col min="6919" max="6919" width="10" customWidth="1"/>
    <col min="7167" max="7167" width="6.7109375" customWidth="1"/>
    <col min="7168" max="7168" width="29.28515625" customWidth="1"/>
    <col min="7169" max="7169" width="21.28515625" customWidth="1"/>
    <col min="7170" max="7170" width="36" customWidth="1"/>
    <col min="7171" max="7171" width="13.140625" customWidth="1"/>
    <col min="7172" max="7172" width="13.42578125" customWidth="1"/>
    <col min="7173" max="7173" width="13.140625" customWidth="1"/>
    <col min="7174" max="7174" width="11.85546875" customWidth="1"/>
    <col min="7175" max="7175" width="10" customWidth="1"/>
    <col min="7423" max="7423" width="6.7109375" customWidth="1"/>
    <col min="7424" max="7424" width="29.28515625" customWidth="1"/>
    <col min="7425" max="7425" width="21.28515625" customWidth="1"/>
    <col min="7426" max="7426" width="36" customWidth="1"/>
    <col min="7427" max="7427" width="13.140625" customWidth="1"/>
    <col min="7428" max="7428" width="13.42578125" customWidth="1"/>
    <col min="7429" max="7429" width="13.140625" customWidth="1"/>
    <col min="7430" max="7430" width="11.85546875" customWidth="1"/>
    <col min="7431" max="7431" width="10" customWidth="1"/>
    <col min="7679" max="7679" width="6.7109375" customWidth="1"/>
    <col min="7680" max="7680" width="29.28515625" customWidth="1"/>
    <col min="7681" max="7681" width="21.28515625" customWidth="1"/>
    <col min="7682" max="7682" width="36" customWidth="1"/>
    <col min="7683" max="7683" width="13.140625" customWidth="1"/>
    <col min="7684" max="7684" width="13.42578125" customWidth="1"/>
    <col min="7685" max="7685" width="13.140625" customWidth="1"/>
    <col min="7686" max="7686" width="11.85546875" customWidth="1"/>
    <col min="7687" max="7687" width="10" customWidth="1"/>
    <col min="7935" max="7935" width="6.7109375" customWidth="1"/>
    <col min="7936" max="7936" width="29.28515625" customWidth="1"/>
    <col min="7937" max="7937" width="21.28515625" customWidth="1"/>
    <col min="7938" max="7938" width="36" customWidth="1"/>
    <col min="7939" max="7939" width="13.140625" customWidth="1"/>
    <col min="7940" max="7940" width="13.42578125" customWidth="1"/>
    <col min="7941" max="7941" width="13.140625" customWidth="1"/>
    <col min="7942" max="7942" width="11.85546875" customWidth="1"/>
    <col min="7943" max="7943" width="10" customWidth="1"/>
    <col min="8191" max="8191" width="6.7109375" customWidth="1"/>
    <col min="8192" max="8192" width="29.28515625" customWidth="1"/>
    <col min="8193" max="8193" width="21.28515625" customWidth="1"/>
    <col min="8194" max="8194" width="36" customWidth="1"/>
    <col min="8195" max="8195" width="13.140625" customWidth="1"/>
    <col min="8196" max="8196" width="13.42578125" customWidth="1"/>
    <col min="8197" max="8197" width="13.140625" customWidth="1"/>
    <col min="8198" max="8198" width="11.85546875" customWidth="1"/>
    <col min="8199" max="8199" width="10" customWidth="1"/>
    <col min="8447" max="8447" width="6.7109375" customWidth="1"/>
    <col min="8448" max="8448" width="29.28515625" customWidth="1"/>
    <col min="8449" max="8449" width="21.28515625" customWidth="1"/>
    <col min="8450" max="8450" width="36" customWidth="1"/>
    <col min="8451" max="8451" width="13.140625" customWidth="1"/>
    <col min="8452" max="8452" width="13.42578125" customWidth="1"/>
    <col min="8453" max="8453" width="13.140625" customWidth="1"/>
    <col min="8454" max="8454" width="11.85546875" customWidth="1"/>
    <col min="8455" max="8455" width="10" customWidth="1"/>
    <col min="8703" max="8703" width="6.7109375" customWidth="1"/>
    <col min="8704" max="8704" width="29.28515625" customWidth="1"/>
    <col min="8705" max="8705" width="21.28515625" customWidth="1"/>
    <col min="8706" max="8706" width="36" customWidth="1"/>
    <col min="8707" max="8707" width="13.140625" customWidth="1"/>
    <col min="8708" max="8708" width="13.42578125" customWidth="1"/>
    <col min="8709" max="8709" width="13.140625" customWidth="1"/>
    <col min="8710" max="8710" width="11.85546875" customWidth="1"/>
    <col min="8711" max="8711" width="10" customWidth="1"/>
    <col min="8959" max="8959" width="6.7109375" customWidth="1"/>
    <col min="8960" max="8960" width="29.28515625" customWidth="1"/>
    <col min="8961" max="8961" width="21.28515625" customWidth="1"/>
    <col min="8962" max="8962" width="36" customWidth="1"/>
    <col min="8963" max="8963" width="13.140625" customWidth="1"/>
    <col min="8964" max="8964" width="13.42578125" customWidth="1"/>
    <col min="8965" max="8965" width="13.140625" customWidth="1"/>
    <col min="8966" max="8966" width="11.85546875" customWidth="1"/>
    <col min="8967" max="8967" width="10" customWidth="1"/>
    <col min="9215" max="9215" width="6.7109375" customWidth="1"/>
    <col min="9216" max="9216" width="29.28515625" customWidth="1"/>
    <col min="9217" max="9217" width="21.28515625" customWidth="1"/>
    <col min="9218" max="9218" width="36" customWidth="1"/>
    <col min="9219" max="9219" width="13.140625" customWidth="1"/>
    <col min="9220" max="9220" width="13.42578125" customWidth="1"/>
    <col min="9221" max="9221" width="13.140625" customWidth="1"/>
    <col min="9222" max="9222" width="11.85546875" customWidth="1"/>
    <col min="9223" max="9223" width="10" customWidth="1"/>
    <col min="9471" max="9471" width="6.7109375" customWidth="1"/>
    <col min="9472" max="9472" width="29.28515625" customWidth="1"/>
    <col min="9473" max="9473" width="21.28515625" customWidth="1"/>
    <col min="9474" max="9474" width="36" customWidth="1"/>
    <col min="9475" max="9475" width="13.140625" customWidth="1"/>
    <col min="9476" max="9476" width="13.42578125" customWidth="1"/>
    <col min="9477" max="9477" width="13.140625" customWidth="1"/>
    <col min="9478" max="9478" width="11.85546875" customWidth="1"/>
    <col min="9479" max="9479" width="10" customWidth="1"/>
    <col min="9727" max="9727" width="6.7109375" customWidth="1"/>
    <col min="9728" max="9728" width="29.28515625" customWidth="1"/>
    <col min="9729" max="9729" width="21.28515625" customWidth="1"/>
    <col min="9730" max="9730" width="36" customWidth="1"/>
    <col min="9731" max="9731" width="13.140625" customWidth="1"/>
    <col min="9732" max="9732" width="13.42578125" customWidth="1"/>
    <col min="9733" max="9733" width="13.140625" customWidth="1"/>
    <col min="9734" max="9734" width="11.85546875" customWidth="1"/>
    <col min="9735" max="9735" width="10" customWidth="1"/>
    <col min="9983" max="9983" width="6.7109375" customWidth="1"/>
    <col min="9984" max="9984" width="29.28515625" customWidth="1"/>
    <col min="9985" max="9985" width="21.28515625" customWidth="1"/>
    <col min="9986" max="9986" width="36" customWidth="1"/>
    <col min="9987" max="9987" width="13.140625" customWidth="1"/>
    <col min="9988" max="9988" width="13.42578125" customWidth="1"/>
    <col min="9989" max="9989" width="13.140625" customWidth="1"/>
    <col min="9990" max="9990" width="11.85546875" customWidth="1"/>
    <col min="9991" max="9991" width="10" customWidth="1"/>
    <col min="10239" max="10239" width="6.7109375" customWidth="1"/>
    <col min="10240" max="10240" width="29.28515625" customWidth="1"/>
    <col min="10241" max="10241" width="21.28515625" customWidth="1"/>
    <col min="10242" max="10242" width="36" customWidth="1"/>
    <col min="10243" max="10243" width="13.140625" customWidth="1"/>
    <col min="10244" max="10244" width="13.42578125" customWidth="1"/>
    <col min="10245" max="10245" width="13.140625" customWidth="1"/>
    <col min="10246" max="10246" width="11.85546875" customWidth="1"/>
    <col min="10247" max="10247" width="10" customWidth="1"/>
    <col min="10495" max="10495" width="6.7109375" customWidth="1"/>
    <col min="10496" max="10496" width="29.28515625" customWidth="1"/>
    <col min="10497" max="10497" width="21.28515625" customWidth="1"/>
    <col min="10498" max="10498" width="36" customWidth="1"/>
    <col min="10499" max="10499" width="13.140625" customWidth="1"/>
    <col min="10500" max="10500" width="13.42578125" customWidth="1"/>
    <col min="10501" max="10501" width="13.140625" customWidth="1"/>
    <col min="10502" max="10502" width="11.85546875" customWidth="1"/>
    <col min="10503" max="10503" width="10" customWidth="1"/>
    <col min="10751" max="10751" width="6.7109375" customWidth="1"/>
    <col min="10752" max="10752" width="29.28515625" customWidth="1"/>
    <col min="10753" max="10753" width="21.28515625" customWidth="1"/>
    <col min="10754" max="10754" width="36" customWidth="1"/>
    <col min="10755" max="10755" width="13.140625" customWidth="1"/>
    <col min="10756" max="10756" width="13.42578125" customWidth="1"/>
    <col min="10757" max="10757" width="13.140625" customWidth="1"/>
    <col min="10758" max="10758" width="11.85546875" customWidth="1"/>
    <col min="10759" max="10759" width="10" customWidth="1"/>
    <col min="11007" max="11007" width="6.7109375" customWidth="1"/>
    <col min="11008" max="11008" width="29.28515625" customWidth="1"/>
    <col min="11009" max="11009" width="21.28515625" customWidth="1"/>
    <col min="11010" max="11010" width="36" customWidth="1"/>
    <col min="11011" max="11011" width="13.140625" customWidth="1"/>
    <col min="11012" max="11012" width="13.42578125" customWidth="1"/>
    <col min="11013" max="11013" width="13.140625" customWidth="1"/>
    <col min="11014" max="11014" width="11.85546875" customWidth="1"/>
    <col min="11015" max="11015" width="10" customWidth="1"/>
    <col min="11263" max="11263" width="6.7109375" customWidth="1"/>
    <col min="11264" max="11264" width="29.28515625" customWidth="1"/>
    <col min="11265" max="11265" width="21.28515625" customWidth="1"/>
    <col min="11266" max="11266" width="36" customWidth="1"/>
    <col min="11267" max="11267" width="13.140625" customWidth="1"/>
    <col min="11268" max="11268" width="13.42578125" customWidth="1"/>
    <col min="11269" max="11269" width="13.140625" customWidth="1"/>
    <col min="11270" max="11270" width="11.85546875" customWidth="1"/>
    <col min="11271" max="11271" width="10" customWidth="1"/>
    <col min="11519" max="11519" width="6.7109375" customWidth="1"/>
    <col min="11520" max="11520" width="29.28515625" customWidth="1"/>
    <col min="11521" max="11521" width="21.28515625" customWidth="1"/>
    <col min="11522" max="11522" width="36" customWidth="1"/>
    <col min="11523" max="11523" width="13.140625" customWidth="1"/>
    <col min="11524" max="11524" width="13.42578125" customWidth="1"/>
    <col min="11525" max="11525" width="13.140625" customWidth="1"/>
    <col min="11526" max="11526" width="11.85546875" customWidth="1"/>
    <col min="11527" max="11527" width="10" customWidth="1"/>
    <col min="11775" max="11775" width="6.7109375" customWidth="1"/>
    <col min="11776" max="11776" width="29.28515625" customWidth="1"/>
    <col min="11777" max="11777" width="21.28515625" customWidth="1"/>
    <col min="11778" max="11778" width="36" customWidth="1"/>
    <col min="11779" max="11779" width="13.140625" customWidth="1"/>
    <col min="11780" max="11780" width="13.42578125" customWidth="1"/>
    <col min="11781" max="11781" width="13.140625" customWidth="1"/>
    <col min="11782" max="11782" width="11.85546875" customWidth="1"/>
    <col min="11783" max="11783" width="10" customWidth="1"/>
    <col min="12031" max="12031" width="6.7109375" customWidth="1"/>
    <col min="12032" max="12032" width="29.28515625" customWidth="1"/>
    <col min="12033" max="12033" width="21.28515625" customWidth="1"/>
    <col min="12034" max="12034" width="36" customWidth="1"/>
    <col min="12035" max="12035" width="13.140625" customWidth="1"/>
    <col min="12036" max="12036" width="13.42578125" customWidth="1"/>
    <col min="12037" max="12037" width="13.140625" customWidth="1"/>
    <col min="12038" max="12038" width="11.85546875" customWidth="1"/>
    <col min="12039" max="12039" width="10" customWidth="1"/>
    <col min="12287" max="12287" width="6.7109375" customWidth="1"/>
    <col min="12288" max="12288" width="29.28515625" customWidth="1"/>
    <col min="12289" max="12289" width="21.28515625" customWidth="1"/>
    <col min="12290" max="12290" width="36" customWidth="1"/>
    <col min="12291" max="12291" width="13.140625" customWidth="1"/>
    <col min="12292" max="12292" width="13.42578125" customWidth="1"/>
    <col min="12293" max="12293" width="13.140625" customWidth="1"/>
    <col min="12294" max="12294" width="11.85546875" customWidth="1"/>
    <col min="12295" max="12295" width="10" customWidth="1"/>
    <col min="12543" max="12543" width="6.7109375" customWidth="1"/>
    <col min="12544" max="12544" width="29.28515625" customWidth="1"/>
    <col min="12545" max="12545" width="21.28515625" customWidth="1"/>
    <col min="12546" max="12546" width="36" customWidth="1"/>
    <col min="12547" max="12547" width="13.140625" customWidth="1"/>
    <col min="12548" max="12548" width="13.42578125" customWidth="1"/>
    <col min="12549" max="12549" width="13.140625" customWidth="1"/>
    <col min="12550" max="12550" width="11.85546875" customWidth="1"/>
    <col min="12551" max="12551" width="10" customWidth="1"/>
    <col min="12799" max="12799" width="6.7109375" customWidth="1"/>
    <col min="12800" max="12800" width="29.28515625" customWidth="1"/>
    <col min="12801" max="12801" width="21.28515625" customWidth="1"/>
    <col min="12802" max="12802" width="36" customWidth="1"/>
    <col min="12803" max="12803" width="13.140625" customWidth="1"/>
    <col min="12804" max="12804" width="13.42578125" customWidth="1"/>
    <col min="12805" max="12805" width="13.140625" customWidth="1"/>
    <col min="12806" max="12806" width="11.85546875" customWidth="1"/>
    <col min="12807" max="12807" width="10" customWidth="1"/>
    <col min="13055" max="13055" width="6.7109375" customWidth="1"/>
    <col min="13056" max="13056" width="29.28515625" customWidth="1"/>
    <col min="13057" max="13057" width="21.28515625" customWidth="1"/>
    <col min="13058" max="13058" width="36" customWidth="1"/>
    <col min="13059" max="13059" width="13.140625" customWidth="1"/>
    <col min="13060" max="13060" width="13.42578125" customWidth="1"/>
    <col min="13061" max="13061" width="13.140625" customWidth="1"/>
    <col min="13062" max="13062" width="11.85546875" customWidth="1"/>
    <col min="13063" max="13063" width="10" customWidth="1"/>
    <col min="13311" max="13311" width="6.7109375" customWidth="1"/>
    <col min="13312" max="13312" width="29.28515625" customWidth="1"/>
    <col min="13313" max="13313" width="21.28515625" customWidth="1"/>
    <col min="13314" max="13314" width="36" customWidth="1"/>
    <col min="13315" max="13315" width="13.140625" customWidth="1"/>
    <col min="13316" max="13316" width="13.42578125" customWidth="1"/>
    <col min="13317" max="13317" width="13.140625" customWidth="1"/>
    <col min="13318" max="13318" width="11.85546875" customWidth="1"/>
    <col min="13319" max="13319" width="10" customWidth="1"/>
    <col min="13567" max="13567" width="6.7109375" customWidth="1"/>
    <col min="13568" max="13568" width="29.28515625" customWidth="1"/>
    <col min="13569" max="13569" width="21.28515625" customWidth="1"/>
    <col min="13570" max="13570" width="36" customWidth="1"/>
    <col min="13571" max="13571" width="13.140625" customWidth="1"/>
    <col min="13572" max="13572" width="13.42578125" customWidth="1"/>
    <col min="13573" max="13573" width="13.140625" customWidth="1"/>
    <col min="13574" max="13574" width="11.85546875" customWidth="1"/>
    <col min="13575" max="13575" width="10" customWidth="1"/>
    <col min="13823" max="13823" width="6.7109375" customWidth="1"/>
    <col min="13824" max="13824" width="29.28515625" customWidth="1"/>
    <col min="13825" max="13825" width="21.28515625" customWidth="1"/>
    <col min="13826" max="13826" width="36" customWidth="1"/>
    <col min="13827" max="13827" width="13.140625" customWidth="1"/>
    <col min="13828" max="13828" width="13.42578125" customWidth="1"/>
    <col min="13829" max="13829" width="13.140625" customWidth="1"/>
    <col min="13830" max="13830" width="11.85546875" customWidth="1"/>
    <col min="13831" max="13831" width="10" customWidth="1"/>
    <col min="14079" max="14079" width="6.7109375" customWidth="1"/>
    <col min="14080" max="14080" width="29.28515625" customWidth="1"/>
    <col min="14081" max="14081" width="21.28515625" customWidth="1"/>
    <col min="14082" max="14082" width="36" customWidth="1"/>
    <col min="14083" max="14083" width="13.140625" customWidth="1"/>
    <col min="14084" max="14084" width="13.42578125" customWidth="1"/>
    <col min="14085" max="14085" width="13.140625" customWidth="1"/>
    <col min="14086" max="14086" width="11.85546875" customWidth="1"/>
    <col min="14087" max="14087" width="10" customWidth="1"/>
    <col min="14335" max="14335" width="6.7109375" customWidth="1"/>
    <col min="14336" max="14336" width="29.28515625" customWidth="1"/>
    <col min="14337" max="14337" width="21.28515625" customWidth="1"/>
    <col min="14338" max="14338" width="36" customWidth="1"/>
    <col min="14339" max="14339" width="13.140625" customWidth="1"/>
    <col min="14340" max="14340" width="13.42578125" customWidth="1"/>
    <col min="14341" max="14341" width="13.140625" customWidth="1"/>
    <col min="14342" max="14342" width="11.85546875" customWidth="1"/>
    <col min="14343" max="14343" width="10" customWidth="1"/>
    <col min="14591" max="14591" width="6.7109375" customWidth="1"/>
    <col min="14592" max="14592" width="29.28515625" customWidth="1"/>
    <col min="14593" max="14593" width="21.28515625" customWidth="1"/>
    <col min="14594" max="14594" width="36" customWidth="1"/>
    <col min="14595" max="14595" width="13.140625" customWidth="1"/>
    <col min="14596" max="14596" width="13.42578125" customWidth="1"/>
    <col min="14597" max="14597" width="13.140625" customWidth="1"/>
    <col min="14598" max="14598" width="11.85546875" customWidth="1"/>
    <col min="14599" max="14599" width="10" customWidth="1"/>
    <col min="14847" max="14847" width="6.7109375" customWidth="1"/>
    <col min="14848" max="14848" width="29.28515625" customWidth="1"/>
    <col min="14849" max="14849" width="21.28515625" customWidth="1"/>
    <col min="14850" max="14850" width="36" customWidth="1"/>
    <col min="14851" max="14851" width="13.140625" customWidth="1"/>
    <col min="14852" max="14852" width="13.42578125" customWidth="1"/>
    <col min="14853" max="14853" width="13.140625" customWidth="1"/>
    <col min="14854" max="14854" width="11.85546875" customWidth="1"/>
    <col min="14855" max="14855" width="10" customWidth="1"/>
    <col min="15103" max="15103" width="6.7109375" customWidth="1"/>
    <col min="15104" max="15104" width="29.28515625" customWidth="1"/>
    <col min="15105" max="15105" width="21.28515625" customWidth="1"/>
    <col min="15106" max="15106" width="36" customWidth="1"/>
    <col min="15107" max="15107" width="13.140625" customWidth="1"/>
    <col min="15108" max="15108" width="13.42578125" customWidth="1"/>
    <col min="15109" max="15109" width="13.140625" customWidth="1"/>
    <col min="15110" max="15110" width="11.85546875" customWidth="1"/>
    <col min="15111" max="15111" width="10" customWidth="1"/>
    <col min="15359" max="15359" width="6.7109375" customWidth="1"/>
    <col min="15360" max="15360" width="29.28515625" customWidth="1"/>
    <col min="15361" max="15361" width="21.28515625" customWidth="1"/>
    <col min="15362" max="15362" width="36" customWidth="1"/>
    <col min="15363" max="15363" width="13.140625" customWidth="1"/>
    <col min="15364" max="15364" width="13.42578125" customWidth="1"/>
    <col min="15365" max="15365" width="13.140625" customWidth="1"/>
    <col min="15366" max="15366" width="11.85546875" customWidth="1"/>
    <col min="15367" max="15367" width="10" customWidth="1"/>
    <col min="15615" max="15615" width="6.7109375" customWidth="1"/>
    <col min="15616" max="15616" width="29.28515625" customWidth="1"/>
    <col min="15617" max="15617" width="21.28515625" customWidth="1"/>
    <col min="15618" max="15618" width="36" customWidth="1"/>
    <col min="15619" max="15619" width="13.140625" customWidth="1"/>
    <col min="15620" max="15620" width="13.42578125" customWidth="1"/>
    <col min="15621" max="15621" width="13.140625" customWidth="1"/>
    <col min="15622" max="15622" width="11.85546875" customWidth="1"/>
    <col min="15623" max="15623" width="10" customWidth="1"/>
    <col min="15871" max="15871" width="6.7109375" customWidth="1"/>
    <col min="15872" max="15872" width="29.28515625" customWidth="1"/>
    <col min="15873" max="15873" width="21.28515625" customWidth="1"/>
    <col min="15874" max="15874" width="36" customWidth="1"/>
    <col min="15875" max="15875" width="13.140625" customWidth="1"/>
    <col min="15876" max="15876" width="13.42578125" customWidth="1"/>
    <col min="15877" max="15877" width="13.140625" customWidth="1"/>
    <col min="15878" max="15878" width="11.85546875" customWidth="1"/>
    <col min="15879" max="15879" width="10" customWidth="1"/>
    <col min="16127" max="16127" width="6.7109375" customWidth="1"/>
    <col min="16128" max="16128" width="29.28515625" customWidth="1"/>
    <col min="16129" max="16129" width="21.28515625" customWidth="1"/>
    <col min="16130" max="16130" width="36" customWidth="1"/>
    <col min="16131" max="16131" width="13.140625" customWidth="1"/>
    <col min="16132" max="16132" width="13.42578125" customWidth="1"/>
    <col min="16133" max="16133" width="13.140625" customWidth="1"/>
    <col min="16134" max="16134" width="11.85546875" customWidth="1"/>
    <col min="16135" max="16135" width="10" customWidth="1"/>
  </cols>
  <sheetData>
    <row r="1" spans="1:4" ht="17.25" customHeight="1">
      <c r="A1" s="64" t="s">
        <v>29</v>
      </c>
    </row>
    <row r="2" spans="1:4" ht="13.5" customHeight="1"/>
    <row r="3" spans="1:4" ht="20.25" customHeight="1">
      <c r="A3" s="82" t="s">
        <v>102</v>
      </c>
      <c r="B3" s="82"/>
      <c r="C3" s="82"/>
      <c r="D3" s="82"/>
    </row>
    <row r="5" spans="1:4" s="40" customFormat="1" ht="38.25" customHeight="1">
      <c r="A5" s="83" t="s">
        <v>1</v>
      </c>
      <c r="B5" s="84" t="s">
        <v>2</v>
      </c>
      <c r="C5" s="83" t="s">
        <v>30</v>
      </c>
      <c r="D5" s="83" t="s">
        <v>31</v>
      </c>
    </row>
    <row r="6" spans="1:4" s="40" customFormat="1" ht="32.25" customHeight="1">
      <c r="A6" s="83"/>
      <c r="B6" s="85"/>
      <c r="C6" s="83"/>
      <c r="D6" s="83"/>
    </row>
    <row r="7" spans="1:4" ht="21.75" customHeight="1">
      <c r="A7" s="65">
        <v>1</v>
      </c>
      <c r="B7" s="59" t="s">
        <v>54</v>
      </c>
      <c r="C7" s="43">
        <v>200000</v>
      </c>
      <c r="D7" s="6"/>
    </row>
    <row r="8" spans="1:4" ht="21.75" customHeight="1">
      <c r="A8" s="66">
        <v>2</v>
      </c>
      <c r="B8" s="59" t="s">
        <v>61</v>
      </c>
      <c r="C8" s="43">
        <v>200000</v>
      </c>
      <c r="D8" s="6"/>
    </row>
    <row r="9" spans="1:4" ht="21.75" customHeight="1">
      <c r="A9" s="66">
        <v>3</v>
      </c>
      <c r="B9" s="59" t="s">
        <v>66</v>
      </c>
      <c r="C9" s="43">
        <v>200000</v>
      </c>
      <c r="D9" s="6"/>
    </row>
    <row r="10" spans="1:4" ht="21.75" customHeight="1">
      <c r="A10" s="66">
        <v>4</v>
      </c>
      <c r="B10" s="59" t="s">
        <v>67</v>
      </c>
      <c r="C10" s="43">
        <v>200000</v>
      </c>
      <c r="D10" s="6"/>
    </row>
    <row r="11" spans="1:4" ht="21.75" customHeight="1">
      <c r="A11" s="66">
        <v>5</v>
      </c>
      <c r="B11" s="59" t="s">
        <v>62</v>
      </c>
      <c r="C11" s="43">
        <v>200000</v>
      </c>
      <c r="D11" s="6"/>
    </row>
    <row r="12" spans="1:4" ht="21.75" customHeight="1">
      <c r="A12" s="66">
        <v>6</v>
      </c>
      <c r="B12" s="59" t="s">
        <v>8</v>
      </c>
      <c r="C12" s="43">
        <v>200000</v>
      </c>
      <c r="D12" s="6"/>
    </row>
    <row r="13" spans="1:4" ht="21.75" customHeight="1">
      <c r="A13" s="66">
        <v>7</v>
      </c>
      <c r="B13" s="59" t="s">
        <v>69</v>
      </c>
      <c r="C13" s="43">
        <v>200000</v>
      </c>
      <c r="D13" s="6"/>
    </row>
    <row r="14" spans="1:4" ht="21.75" customHeight="1">
      <c r="A14" s="66">
        <v>8</v>
      </c>
      <c r="B14" s="59" t="s">
        <v>71</v>
      </c>
      <c r="C14" s="43">
        <v>200000</v>
      </c>
      <c r="D14" s="6"/>
    </row>
    <row r="15" spans="1:4" ht="21.75" customHeight="1">
      <c r="A15" s="66">
        <v>9</v>
      </c>
      <c r="B15" s="59" t="s">
        <v>73</v>
      </c>
      <c r="C15" s="43">
        <v>200000</v>
      </c>
      <c r="D15" s="6"/>
    </row>
    <row r="16" spans="1:4" ht="21.75" customHeight="1">
      <c r="A16" s="66">
        <v>10</v>
      </c>
      <c r="B16" s="59" t="s">
        <v>77</v>
      </c>
      <c r="C16" s="43">
        <v>200000</v>
      </c>
      <c r="D16" s="6"/>
    </row>
    <row r="17" spans="1:4" ht="21.75" customHeight="1">
      <c r="A17" s="66">
        <v>11</v>
      </c>
      <c r="B17" s="59" t="s">
        <v>78</v>
      </c>
      <c r="C17" s="43">
        <v>200000</v>
      </c>
      <c r="D17" s="6"/>
    </row>
    <row r="18" spans="1:4" ht="21.75" customHeight="1">
      <c r="A18" s="66">
        <v>12</v>
      </c>
      <c r="B18" s="53" t="s">
        <v>76</v>
      </c>
      <c r="C18" s="43">
        <v>200000</v>
      </c>
      <c r="D18" s="6"/>
    </row>
    <row r="19" spans="1:4" ht="21.75" customHeight="1">
      <c r="A19" s="66">
        <v>13</v>
      </c>
      <c r="B19" s="59" t="s">
        <v>81</v>
      </c>
      <c r="C19" s="43">
        <v>200000</v>
      </c>
      <c r="D19" s="6"/>
    </row>
    <row r="20" spans="1:4" ht="21.75" customHeight="1">
      <c r="A20" s="66">
        <v>14</v>
      </c>
      <c r="B20" s="59" t="s">
        <v>83</v>
      </c>
      <c r="C20" s="43">
        <v>200000</v>
      </c>
      <c r="D20" s="6"/>
    </row>
    <row r="21" spans="1:4" ht="21.75" customHeight="1">
      <c r="A21" s="66">
        <v>15</v>
      </c>
      <c r="B21" s="59" t="s">
        <v>84</v>
      </c>
      <c r="C21" s="43">
        <v>200000</v>
      </c>
      <c r="D21" s="6"/>
    </row>
    <row r="22" spans="1:4" ht="21.75" customHeight="1">
      <c r="A22" s="66">
        <v>16</v>
      </c>
      <c r="B22" s="52" t="s">
        <v>86</v>
      </c>
      <c r="C22" s="43">
        <v>200000</v>
      </c>
      <c r="D22" s="6"/>
    </row>
    <row r="23" spans="1:4" ht="21.75" customHeight="1">
      <c r="A23" s="66">
        <v>17</v>
      </c>
      <c r="B23" s="59" t="s">
        <v>98</v>
      </c>
      <c r="C23" s="43">
        <v>200000</v>
      </c>
      <c r="D23" s="6"/>
    </row>
    <row r="24" spans="1:4" ht="18" customHeight="1">
      <c r="A24" s="67"/>
      <c r="B24" s="60"/>
      <c r="C24" s="11"/>
      <c r="D24" s="12"/>
    </row>
    <row r="25" spans="1:4" s="40" customFormat="1" ht="17.25">
      <c r="A25" s="68"/>
      <c r="B25" s="63" t="s">
        <v>9</v>
      </c>
      <c r="C25" s="15">
        <f>SUM(C7:C24)</f>
        <v>3400000</v>
      </c>
      <c r="D25" s="16"/>
    </row>
    <row r="26" spans="1:4">
      <c r="A26" s="69"/>
    </row>
    <row r="27" spans="1:4">
      <c r="A27" s="69"/>
    </row>
    <row r="28" spans="1:4">
      <c r="A28" s="69"/>
      <c r="C28" s="40"/>
      <c r="D28" s="44" t="s">
        <v>113</v>
      </c>
    </row>
    <row r="29" spans="1:4">
      <c r="A29" s="69"/>
      <c r="C29"/>
      <c r="D29" s="40" t="s">
        <v>32</v>
      </c>
    </row>
    <row r="30" spans="1:4">
      <c r="A30" s="69"/>
      <c r="B30" s="61" t="s">
        <v>10</v>
      </c>
      <c r="C30"/>
      <c r="D30" s="40" t="s">
        <v>33</v>
      </c>
    </row>
    <row r="31" spans="1:4">
      <c r="A31" s="69"/>
      <c r="C31"/>
      <c r="D31" s="45"/>
    </row>
    <row r="32" spans="1:4">
      <c r="A32" s="69"/>
      <c r="C32"/>
      <c r="D32" s="45"/>
    </row>
    <row r="33" spans="2:7">
      <c r="C33" s="46"/>
      <c r="D33" s="45"/>
      <c r="G33" s="46"/>
    </row>
    <row r="34" spans="2:7">
      <c r="D34" s="46"/>
    </row>
    <row r="35" spans="2:7">
      <c r="B35" s="40" t="s">
        <v>51</v>
      </c>
      <c r="D35" s="40" t="s">
        <v>99</v>
      </c>
    </row>
    <row r="36" spans="2:7">
      <c r="F36" s="19"/>
    </row>
  </sheetData>
  <mergeCells count="5">
    <mergeCell ref="A3:D3"/>
    <mergeCell ref="A5:A6"/>
    <mergeCell ref="B5:B6"/>
    <mergeCell ref="C5:C6"/>
    <mergeCell ref="D5:D6"/>
  </mergeCells>
  <pageMargins left="0.52" right="0.28000000000000003" top="0.44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1"/>
  <sheetViews>
    <sheetView topLeftCell="A25" workbookViewId="0">
      <selection activeCell="F45" sqref="F45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128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 t="s">
        <v>118</v>
      </c>
      <c r="K7" s="74"/>
    </row>
    <row r="8" spans="1:11" ht="18" customHeight="1">
      <c r="A8" s="7">
        <v>2</v>
      </c>
      <c r="B8" s="49" t="s">
        <v>53</v>
      </c>
      <c r="C8" s="5">
        <v>5700000</v>
      </c>
      <c r="D8" s="56">
        <f t="shared" ref="D8:D46" si="0">C8*0.02*0.75</f>
        <v>85500</v>
      </c>
      <c r="E8" s="56">
        <f t="shared" ref="E8:E46" si="1">C8*0.02*0.25</f>
        <v>28500</v>
      </c>
      <c r="F8" s="56">
        <f t="shared" ref="F8:F46" si="2">C8*0.005*0.7</f>
        <v>19950</v>
      </c>
      <c r="G8" s="56">
        <f t="shared" ref="G8:G46" si="3">C8*0.005*0.3</f>
        <v>8550</v>
      </c>
      <c r="H8" s="56">
        <f t="shared" ref="H8:H46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</row>
    <row r="10" spans="1:11" ht="18" customHeight="1">
      <c r="A10" s="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>C17*0.02*0.75</f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8" ht="18" customHeight="1">
      <c r="A18" s="4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8" ht="18" customHeight="1">
      <c r="A20" s="4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</row>
    <row r="22" spans="1:8" ht="18" customHeight="1">
      <c r="A22" s="47">
        <v>16</v>
      </c>
      <c r="B22" s="52" t="s">
        <v>68</v>
      </c>
      <c r="C22" s="5">
        <v>5700000</v>
      </c>
      <c r="D22" s="56">
        <f t="shared" si="0"/>
        <v>85500</v>
      </c>
      <c r="E22" s="56">
        <f t="shared" si="1"/>
        <v>28500</v>
      </c>
      <c r="F22" s="56">
        <f t="shared" si="2"/>
        <v>19950</v>
      </c>
      <c r="G22" s="56">
        <f t="shared" si="3"/>
        <v>8550</v>
      </c>
      <c r="H22" s="56">
        <f t="shared" si="4"/>
        <v>171000</v>
      </c>
    </row>
    <row r="23" spans="1:8" ht="18" customHeight="1">
      <c r="A23" s="47">
        <v>17</v>
      </c>
      <c r="B23" s="52" t="s">
        <v>117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8" ht="18" customHeight="1">
      <c r="A24" s="47">
        <v>18</v>
      </c>
      <c r="B24" s="49" t="s">
        <v>62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</row>
    <row r="25" spans="1:8" ht="18" customHeight="1">
      <c r="A25" s="47">
        <v>19</v>
      </c>
      <c r="B25" s="52" t="s">
        <v>8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</row>
    <row r="26" spans="1:8" ht="18" customHeight="1">
      <c r="A26" s="47">
        <v>20</v>
      </c>
      <c r="B26" s="52" t="s">
        <v>69</v>
      </c>
      <c r="C26" s="5">
        <v>15000000</v>
      </c>
      <c r="D26" s="56">
        <f t="shared" si="0"/>
        <v>225000</v>
      </c>
      <c r="E26" s="56">
        <f t="shared" si="1"/>
        <v>75000</v>
      </c>
      <c r="F26" s="56">
        <f t="shared" si="2"/>
        <v>52500</v>
      </c>
      <c r="G26" s="56">
        <f t="shared" si="3"/>
        <v>22500</v>
      </c>
      <c r="H26" s="56">
        <f t="shared" si="4"/>
        <v>450000</v>
      </c>
    </row>
    <row r="27" spans="1:8" ht="18" customHeight="1">
      <c r="A27" s="47">
        <v>21</v>
      </c>
      <c r="B27" s="52" t="s">
        <v>70</v>
      </c>
      <c r="C27" s="5">
        <v>5700000</v>
      </c>
      <c r="D27" s="56">
        <f t="shared" si="0"/>
        <v>85500</v>
      </c>
      <c r="E27" s="56">
        <f t="shared" si="1"/>
        <v>28500</v>
      </c>
      <c r="F27" s="56">
        <f t="shared" si="2"/>
        <v>19950</v>
      </c>
      <c r="G27" s="56">
        <f t="shared" si="3"/>
        <v>8550</v>
      </c>
      <c r="H27" s="56">
        <f t="shared" si="4"/>
        <v>171000</v>
      </c>
    </row>
    <row r="28" spans="1:8" ht="18" customHeight="1">
      <c r="A28" s="47">
        <v>22</v>
      </c>
      <c r="B28" s="52" t="s">
        <v>42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8" ht="18" customHeight="1">
      <c r="A29" s="47">
        <v>23</v>
      </c>
      <c r="B29" s="53" t="s">
        <v>71</v>
      </c>
      <c r="C29" s="5">
        <v>5310000</v>
      </c>
      <c r="D29" s="56">
        <f t="shared" si="0"/>
        <v>79650</v>
      </c>
      <c r="E29" s="56">
        <f t="shared" si="1"/>
        <v>26550</v>
      </c>
      <c r="F29" s="56">
        <f t="shared" si="2"/>
        <v>18585</v>
      </c>
      <c r="G29" s="56">
        <f t="shared" si="3"/>
        <v>7965</v>
      </c>
      <c r="H29" s="56">
        <f t="shared" si="4"/>
        <v>159300</v>
      </c>
    </row>
    <row r="30" spans="1:8" ht="18" customHeight="1">
      <c r="A30" s="47">
        <v>24</v>
      </c>
      <c r="B30" s="53" t="s">
        <v>72</v>
      </c>
      <c r="C30" s="5">
        <v>5700000</v>
      </c>
      <c r="D30" s="56">
        <f t="shared" si="0"/>
        <v>85500</v>
      </c>
      <c r="E30" s="56">
        <f t="shared" si="1"/>
        <v>28500</v>
      </c>
      <c r="F30" s="56">
        <f t="shared" si="2"/>
        <v>19950</v>
      </c>
      <c r="G30" s="56">
        <f t="shared" si="3"/>
        <v>8550</v>
      </c>
      <c r="H30" s="56">
        <f t="shared" si="4"/>
        <v>171000</v>
      </c>
    </row>
    <row r="31" spans="1:8" ht="18" customHeight="1">
      <c r="A31" s="47">
        <v>25</v>
      </c>
      <c r="B31" s="53" t="s">
        <v>73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</row>
    <row r="32" spans="1:8" ht="18" customHeight="1">
      <c r="A32" s="47">
        <v>26</v>
      </c>
      <c r="B32" s="53" t="s">
        <v>74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9" ht="18" customHeight="1">
      <c r="A33" s="47">
        <v>27</v>
      </c>
      <c r="B33" s="53" t="s">
        <v>75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9" ht="18" customHeight="1">
      <c r="A34" s="47">
        <v>28</v>
      </c>
      <c r="B34" s="53" t="s">
        <v>77</v>
      </c>
      <c r="C34" s="5">
        <v>5700000</v>
      </c>
      <c r="D34" s="56">
        <f t="shared" si="0"/>
        <v>85500</v>
      </c>
      <c r="E34" s="56">
        <f t="shared" si="1"/>
        <v>28500</v>
      </c>
      <c r="F34" s="56">
        <f t="shared" si="2"/>
        <v>19950</v>
      </c>
      <c r="G34" s="56">
        <f t="shared" si="3"/>
        <v>8550</v>
      </c>
      <c r="H34" s="56">
        <f t="shared" si="4"/>
        <v>171000</v>
      </c>
    </row>
    <row r="35" spans="1:9" ht="18" customHeight="1">
      <c r="A35" s="47">
        <v>29</v>
      </c>
      <c r="B35" s="53" t="s">
        <v>78</v>
      </c>
      <c r="C35" s="5">
        <v>5700000</v>
      </c>
      <c r="D35" s="56">
        <f t="shared" si="0"/>
        <v>85500</v>
      </c>
      <c r="E35" s="56">
        <f t="shared" si="1"/>
        <v>28500</v>
      </c>
      <c r="F35" s="56">
        <f t="shared" si="2"/>
        <v>19950</v>
      </c>
      <c r="G35" s="56">
        <f t="shared" si="3"/>
        <v>8550</v>
      </c>
      <c r="H35" s="56">
        <f t="shared" si="4"/>
        <v>171000</v>
      </c>
    </row>
    <row r="36" spans="1:9" ht="18" customHeight="1">
      <c r="A36" s="47">
        <v>30</v>
      </c>
      <c r="B36" s="52" t="s">
        <v>97</v>
      </c>
      <c r="C36" s="5">
        <v>5700000</v>
      </c>
      <c r="D36" s="56">
        <f t="shared" si="0"/>
        <v>85500</v>
      </c>
      <c r="E36" s="56">
        <f t="shared" si="1"/>
        <v>28500</v>
      </c>
      <c r="F36" s="56">
        <f t="shared" si="2"/>
        <v>19950</v>
      </c>
      <c r="G36" s="56">
        <f t="shared" si="3"/>
        <v>8550</v>
      </c>
      <c r="H36" s="56">
        <f t="shared" si="4"/>
        <v>171000</v>
      </c>
      <c r="I36" s="19">
        <f>+H36+'02026'!H36+'032026'!H36</f>
        <v>1371000</v>
      </c>
    </row>
    <row r="37" spans="1:9" ht="18" customHeight="1">
      <c r="A37" s="47">
        <v>31</v>
      </c>
      <c r="B37" s="53" t="s">
        <v>76</v>
      </c>
      <c r="C37" s="5">
        <v>5700000</v>
      </c>
      <c r="D37" s="56">
        <f t="shared" si="0"/>
        <v>85500</v>
      </c>
      <c r="E37" s="56">
        <f t="shared" si="1"/>
        <v>28500</v>
      </c>
      <c r="F37" s="56">
        <f t="shared" si="2"/>
        <v>19950</v>
      </c>
      <c r="G37" s="56">
        <f t="shared" si="3"/>
        <v>8550</v>
      </c>
      <c r="H37" s="56">
        <f t="shared" si="4"/>
        <v>171000</v>
      </c>
    </row>
    <row r="38" spans="1:9" ht="18" customHeight="1">
      <c r="A38" s="47">
        <v>32</v>
      </c>
      <c r="B38" s="53" t="s">
        <v>106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9" ht="18" customHeight="1">
      <c r="A39" s="47">
        <v>33</v>
      </c>
      <c r="B39" s="53" t="s">
        <v>81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</row>
    <row r="40" spans="1:9" ht="18" customHeight="1">
      <c r="A40" s="47">
        <v>34</v>
      </c>
      <c r="B40" s="53" t="s">
        <v>80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9" ht="18" customHeight="1">
      <c r="A41" s="47">
        <v>35</v>
      </c>
      <c r="B41" s="52" t="s">
        <v>82</v>
      </c>
      <c r="C41" s="5">
        <v>5700000</v>
      </c>
      <c r="D41" s="56">
        <f t="shared" si="0"/>
        <v>85500</v>
      </c>
      <c r="E41" s="56">
        <f t="shared" si="1"/>
        <v>28500</v>
      </c>
      <c r="F41" s="56">
        <f t="shared" si="2"/>
        <v>19950</v>
      </c>
      <c r="G41" s="56">
        <f t="shared" si="3"/>
        <v>8550</v>
      </c>
      <c r="H41" s="56">
        <f t="shared" si="4"/>
        <v>171000</v>
      </c>
    </row>
    <row r="42" spans="1:9" ht="18" customHeight="1">
      <c r="A42" s="47">
        <v>36</v>
      </c>
      <c r="B42" s="52" t="s">
        <v>83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</row>
    <row r="43" spans="1:9" ht="18" customHeight="1">
      <c r="A43" s="47">
        <v>37</v>
      </c>
      <c r="B43" s="52" t="s">
        <v>84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</row>
    <row r="44" spans="1:9" ht="18" customHeight="1">
      <c r="A44" s="47">
        <v>38</v>
      </c>
      <c r="B44" s="52" t="s">
        <v>85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9" ht="18" customHeight="1">
      <c r="A45" s="47">
        <v>39</v>
      </c>
      <c r="B45" s="52" t="s">
        <v>86</v>
      </c>
      <c r="C45" s="5">
        <v>0</v>
      </c>
      <c r="D45" s="56">
        <f t="shared" si="0"/>
        <v>0</v>
      </c>
      <c r="E45" s="56">
        <f t="shared" si="1"/>
        <v>0</v>
      </c>
      <c r="F45" s="56">
        <f t="shared" si="2"/>
        <v>0</v>
      </c>
      <c r="G45" s="56">
        <f t="shared" si="3"/>
        <v>0</v>
      </c>
      <c r="H45" s="56">
        <f t="shared" si="4"/>
        <v>0</v>
      </c>
      <c r="I45" t="s">
        <v>116</v>
      </c>
    </row>
    <row r="46" spans="1:9" ht="18" customHeight="1">
      <c r="A46" s="47">
        <v>40</v>
      </c>
      <c r="B46" s="52" t="s">
        <v>98</v>
      </c>
      <c r="C46" s="5">
        <v>5700000</v>
      </c>
      <c r="D46" s="56">
        <f t="shared" si="0"/>
        <v>85500</v>
      </c>
      <c r="E46" s="56">
        <f t="shared" si="1"/>
        <v>28500</v>
      </c>
      <c r="F46" s="56">
        <f t="shared" si="2"/>
        <v>19950</v>
      </c>
      <c r="G46" s="56">
        <f t="shared" si="3"/>
        <v>8550</v>
      </c>
      <c r="H46" s="56">
        <f t="shared" si="4"/>
        <v>171000</v>
      </c>
      <c r="I46" s="8"/>
    </row>
    <row r="47" spans="1:9" ht="18" customHeight="1">
      <c r="A47" s="47">
        <v>41</v>
      </c>
      <c r="B47" s="52" t="s">
        <v>126</v>
      </c>
      <c r="C47" s="5">
        <v>5700000</v>
      </c>
      <c r="D47" s="56">
        <f t="shared" ref="D47" si="5">C47*0.02*0.75</f>
        <v>85500</v>
      </c>
      <c r="E47" s="56">
        <f t="shared" ref="E47" si="6">C47*0.02*0.25</f>
        <v>28500</v>
      </c>
      <c r="F47" s="56">
        <f t="shared" ref="F47" si="7">C47*0.005*0.7</f>
        <v>19950</v>
      </c>
      <c r="G47" s="56">
        <f t="shared" ref="G47" si="8">C47*0.005*0.3</f>
        <v>8550</v>
      </c>
      <c r="H47" s="56">
        <f t="shared" ref="H47" si="9">C47*0.03</f>
        <v>171000</v>
      </c>
      <c r="I47" s="8"/>
    </row>
    <row r="48" spans="1:9" ht="18" customHeight="1">
      <c r="A48" s="47">
        <v>42</v>
      </c>
      <c r="B48" s="52" t="s">
        <v>139</v>
      </c>
      <c r="C48" s="5">
        <v>5700000</v>
      </c>
      <c r="D48" s="56">
        <f t="shared" ref="D48" si="10">C48*0.02*0.75</f>
        <v>85500</v>
      </c>
      <c r="E48" s="56">
        <f t="shared" ref="E48" si="11">C48*0.02*0.25</f>
        <v>28500</v>
      </c>
      <c r="F48" s="56">
        <f t="shared" ref="F48" si="12">C48*0.005*0.7</f>
        <v>19950</v>
      </c>
      <c r="G48" s="56">
        <f t="shared" ref="G48" si="13">C48*0.005*0.3</f>
        <v>8550</v>
      </c>
      <c r="H48" s="56">
        <f t="shared" ref="H48" si="14">C48*0.03</f>
        <v>171000</v>
      </c>
      <c r="I48" s="8"/>
    </row>
    <row r="49" spans="1:10" ht="18" customHeight="1">
      <c r="A49" s="9"/>
      <c r="B49" s="10"/>
      <c r="C49" s="11"/>
      <c r="D49" s="12"/>
      <c r="E49" s="12"/>
      <c r="F49" s="12"/>
      <c r="G49" s="12"/>
      <c r="H49" s="12"/>
    </row>
    <row r="50" spans="1:10" s="40" customFormat="1" ht="17.25">
      <c r="A50" s="13"/>
      <c r="B50" s="14" t="s">
        <v>9</v>
      </c>
      <c r="C50" s="15">
        <f>SUM(C7:C49)</f>
        <v>242610000</v>
      </c>
      <c r="D50" s="15">
        <f>SUM(D7:D49)</f>
        <v>3639150</v>
      </c>
      <c r="E50" s="15">
        <f>SUM(E7:E49)</f>
        <v>1213050</v>
      </c>
      <c r="F50" s="15">
        <f t="shared" ref="F50:H50" si="15">SUM(F7:F49)</f>
        <v>849135</v>
      </c>
      <c r="G50" s="15">
        <f t="shared" si="15"/>
        <v>363915</v>
      </c>
      <c r="H50" s="15">
        <f t="shared" si="15"/>
        <v>7278300</v>
      </c>
      <c r="I50" s="17"/>
    </row>
    <row r="51" spans="1:10" s="40" customFormat="1" ht="17.25">
      <c r="B51" s="78"/>
      <c r="C51" s="79"/>
      <c r="D51" s="90">
        <f>+D50+E50</f>
        <v>4852200</v>
      </c>
      <c r="E51" s="90"/>
      <c r="F51" s="90"/>
      <c r="G51" s="90"/>
      <c r="H51" s="79"/>
      <c r="I51" s="17"/>
    </row>
    <row r="52" spans="1:10">
      <c r="A52" s="18"/>
      <c r="D52" s="19"/>
      <c r="J52" s="19"/>
    </row>
    <row r="53" spans="1:10">
      <c r="A53" s="18"/>
      <c r="D53" s="19"/>
      <c r="E53" s="86" t="s">
        <v>129</v>
      </c>
      <c r="F53" s="86"/>
      <c r="G53" s="86"/>
      <c r="H53" s="86"/>
    </row>
    <row r="54" spans="1:10">
      <c r="A54" s="18"/>
      <c r="B54" s="80"/>
      <c r="E54" s="86" t="s">
        <v>10</v>
      </c>
      <c r="F54" s="86"/>
      <c r="G54" s="86"/>
      <c r="H54" s="86"/>
    </row>
    <row r="55" spans="1:10">
      <c r="A55" s="18"/>
      <c r="I55" s="20"/>
    </row>
    <row r="56" spans="1:10">
      <c r="A56" s="18"/>
      <c r="I56" s="19"/>
    </row>
    <row r="57" spans="1:10">
      <c r="A57" s="18"/>
    </row>
    <row r="59" spans="1:10">
      <c r="E59" s="87" t="s">
        <v>51</v>
      </c>
      <c r="F59" s="87"/>
      <c r="G59" s="87"/>
      <c r="H59" s="87"/>
    </row>
    <row r="61" spans="1:10">
      <c r="H61" s="19"/>
    </row>
  </sheetData>
  <mergeCells count="11">
    <mergeCell ref="E53:H53"/>
    <mergeCell ref="E54:H54"/>
    <mergeCell ref="E59:H59"/>
    <mergeCell ref="A5:A6"/>
    <mergeCell ref="B5:B6"/>
    <mergeCell ref="C5:C6"/>
    <mergeCell ref="D5:E5"/>
    <mergeCell ref="F5:G5"/>
    <mergeCell ref="H5:H6"/>
    <mergeCell ref="D51:E51"/>
    <mergeCell ref="F51:G51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8A3B-BF97-45BE-BAC7-54A013145B21}">
  <dimension ref="A1:K60"/>
  <sheetViews>
    <sheetView topLeftCell="A22" workbookViewId="0">
      <selection activeCell="B47" sqref="B47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9.5703125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134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 t="s">
        <v>118</v>
      </c>
      <c r="K7" s="74"/>
    </row>
    <row r="8" spans="1:11" ht="18" customHeight="1">
      <c r="A8" s="7">
        <v>2</v>
      </c>
      <c r="B8" s="49" t="s">
        <v>53</v>
      </c>
      <c r="C8" s="5">
        <v>5700000</v>
      </c>
      <c r="D8" s="56">
        <f t="shared" ref="D8:D48" si="0">C8*0.02*0.75</f>
        <v>85500</v>
      </c>
      <c r="E8" s="56">
        <f t="shared" ref="E8:E48" si="1">C8*0.02*0.25</f>
        <v>28500</v>
      </c>
      <c r="F8" s="56">
        <f t="shared" ref="F8:F48" si="2">C8*0.005*0.7</f>
        <v>19950</v>
      </c>
      <c r="G8" s="56">
        <f t="shared" ref="G8:G48" si="3">C8*0.005*0.3</f>
        <v>8550</v>
      </c>
      <c r="H8" s="56">
        <f t="shared" ref="H8:H48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  <c r="I9" t="s">
        <v>141</v>
      </c>
    </row>
    <row r="10" spans="1:11" ht="18" customHeight="1">
      <c r="A10" s="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  <c r="I16" t="s">
        <v>141</v>
      </c>
    </row>
    <row r="17" spans="1:9" ht="18" customHeight="1">
      <c r="A17" s="47">
        <v>11</v>
      </c>
      <c r="B17" s="49" t="s">
        <v>64</v>
      </c>
      <c r="C17" s="5">
        <v>5700000</v>
      </c>
      <c r="D17" s="56">
        <f t="shared" si="0"/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9" ht="18" customHeight="1">
      <c r="A18" s="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9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9" ht="18" customHeight="1">
      <c r="A20" s="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  <c r="I20" t="s">
        <v>141</v>
      </c>
    </row>
    <row r="21" spans="1:9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  <c r="I21" t="s">
        <v>141</v>
      </c>
    </row>
    <row r="22" spans="1:9" ht="18" customHeight="1">
      <c r="A22" s="7">
        <v>16</v>
      </c>
      <c r="B22" s="52" t="s">
        <v>68</v>
      </c>
      <c r="C22" s="5">
        <v>5700000</v>
      </c>
      <c r="D22" s="56">
        <f t="shared" si="0"/>
        <v>85500</v>
      </c>
      <c r="E22" s="56">
        <f t="shared" si="1"/>
        <v>28500</v>
      </c>
      <c r="F22" s="56">
        <f t="shared" si="2"/>
        <v>19950</v>
      </c>
      <c r="G22" s="56">
        <f t="shared" si="3"/>
        <v>8550</v>
      </c>
      <c r="H22" s="56">
        <f t="shared" si="4"/>
        <v>171000</v>
      </c>
    </row>
    <row r="23" spans="1:9" ht="18" customHeight="1">
      <c r="A23" s="47">
        <v>17</v>
      </c>
      <c r="B23" s="52" t="s">
        <v>117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9" ht="18" customHeight="1">
      <c r="A24" s="7">
        <v>18</v>
      </c>
      <c r="B24" s="49" t="s">
        <v>62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  <c r="I24" t="s">
        <v>141</v>
      </c>
    </row>
    <row r="25" spans="1:9" ht="18" customHeight="1">
      <c r="A25" s="47">
        <v>19</v>
      </c>
      <c r="B25" s="52" t="s">
        <v>8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  <c r="I25" t="s">
        <v>141</v>
      </c>
    </row>
    <row r="26" spans="1:9" ht="18" customHeight="1">
      <c r="A26" s="7">
        <v>20</v>
      </c>
      <c r="B26" s="52" t="s">
        <v>69</v>
      </c>
      <c r="C26" s="5">
        <v>15000000</v>
      </c>
      <c r="D26" s="56">
        <f t="shared" si="0"/>
        <v>225000</v>
      </c>
      <c r="E26" s="56">
        <f t="shared" si="1"/>
        <v>75000</v>
      </c>
      <c r="F26" s="56">
        <f t="shared" si="2"/>
        <v>52500</v>
      </c>
      <c r="G26" s="56">
        <f t="shared" si="3"/>
        <v>22500</v>
      </c>
      <c r="H26" s="56">
        <f t="shared" si="4"/>
        <v>450000</v>
      </c>
      <c r="I26" t="s">
        <v>141</v>
      </c>
    </row>
    <row r="27" spans="1:9" ht="18" customHeight="1">
      <c r="A27" s="47">
        <v>21</v>
      </c>
      <c r="B27" s="52" t="s">
        <v>70</v>
      </c>
      <c r="C27" s="5">
        <v>5700000</v>
      </c>
      <c r="D27" s="56">
        <f t="shared" si="0"/>
        <v>85500</v>
      </c>
      <c r="E27" s="56">
        <f t="shared" si="1"/>
        <v>28500</v>
      </c>
      <c r="F27" s="56">
        <f t="shared" si="2"/>
        <v>19950</v>
      </c>
      <c r="G27" s="56">
        <f t="shared" si="3"/>
        <v>8550</v>
      </c>
      <c r="H27" s="56">
        <f t="shared" si="4"/>
        <v>171000</v>
      </c>
    </row>
    <row r="28" spans="1:9" ht="18" customHeight="1">
      <c r="A28" s="7">
        <v>22</v>
      </c>
      <c r="B28" s="52" t="s">
        <v>42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9" ht="18" customHeight="1">
      <c r="A29" s="47">
        <v>23</v>
      </c>
      <c r="B29" s="53" t="s">
        <v>71</v>
      </c>
      <c r="C29" s="5">
        <v>5310000</v>
      </c>
      <c r="D29" s="56">
        <f t="shared" si="0"/>
        <v>79650</v>
      </c>
      <c r="E29" s="56">
        <f t="shared" si="1"/>
        <v>26550</v>
      </c>
      <c r="F29" s="56">
        <f t="shared" si="2"/>
        <v>18585</v>
      </c>
      <c r="G29" s="56">
        <f t="shared" si="3"/>
        <v>7965</v>
      </c>
      <c r="H29" s="56">
        <f t="shared" si="4"/>
        <v>159300</v>
      </c>
      <c r="I29" t="s">
        <v>141</v>
      </c>
    </row>
    <row r="30" spans="1:9" ht="18" customHeight="1">
      <c r="A30" s="7">
        <v>24</v>
      </c>
      <c r="B30" s="53" t="s">
        <v>72</v>
      </c>
      <c r="C30" s="5">
        <v>5700000</v>
      </c>
      <c r="D30" s="56">
        <f t="shared" si="0"/>
        <v>85500</v>
      </c>
      <c r="E30" s="56">
        <f t="shared" si="1"/>
        <v>28500</v>
      </c>
      <c r="F30" s="56">
        <f t="shared" si="2"/>
        <v>19950</v>
      </c>
      <c r="G30" s="56">
        <f t="shared" si="3"/>
        <v>8550</v>
      </c>
      <c r="H30" s="56">
        <f t="shared" si="4"/>
        <v>171000</v>
      </c>
    </row>
    <row r="31" spans="1:9" ht="18" customHeight="1">
      <c r="A31" s="47">
        <v>25</v>
      </c>
      <c r="B31" s="53" t="s">
        <v>73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  <c r="I31" t="s">
        <v>141</v>
      </c>
    </row>
    <row r="32" spans="1:9" ht="18" customHeight="1">
      <c r="A32" s="7">
        <v>26</v>
      </c>
      <c r="B32" s="53" t="s">
        <v>74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10" ht="18" customHeight="1">
      <c r="A33" s="47">
        <v>27</v>
      </c>
      <c r="B33" s="53" t="s">
        <v>75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10" ht="18" customHeight="1">
      <c r="A34" s="7">
        <v>28</v>
      </c>
      <c r="B34" s="53" t="s">
        <v>77</v>
      </c>
      <c r="C34" s="5">
        <v>5700000</v>
      </c>
      <c r="D34" s="56">
        <f t="shared" si="0"/>
        <v>85500</v>
      </c>
      <c r="E34" s="56">
        <f t="shared" si="1"/>
        <v>28500</v>
      </c>
      <c r="F34" s="56">
        <f t="shared" si="2"/>
        <v>19950</v>
      </c>
      <c r="G34" s="56">
        <f t="shared" si="3"/>
        <v>8550</v>
      </c>
      <c r="H34" s="56">
        <f t="shared" si="4"/>
        <v>171000</v>
      </c>
      <c r="I34" t="s">
        <v>141</v>
      </c>
    </row>
    <row r="35" spans="1:10" ht="18" customHeight="1">
      <c r="A35" s="47">
        <v>29</v>
      </c>
      <c r="B35" s="53" t="s">
        <v>78</v>
      </c>
      <c r="C35" s="5">
        <v>5700000</v>
      </c>
      <c r="D35" s="56">
        <f t="shared" si="0"/>
        <v>85500</v>
      </c>
      <c r="E35" s="56">
        <f t="shared" si="1"/>
        <v>28500</v>
      </c>
      <c r="F35" s="56">
        <f t="shared" si="2"/>
        <v>19950</v>
      </c>
      <c r="G35" s="56">
        <f t="shared" si="3"/>
        <v>8550</v>
      </c>
      <c r="H35" s="56">
        <f t="shared" si="4"/>
        <v>171000</v>
      </c>
      <c r="I35" t="s">
        <v>141</v>
      </c>
    </row>
    <row r="36" spans="1:10" ht="18" customHeight="1">
      <c r="A36" s="7">
        <v>30</v>
      </c>
      <c r="B36" s="52" t="s">
        <v>97</v>
      </c>
      <c r="C36" s="5">
        <v>20000000</v>
      </c>
      <c r="D36" s="56">
        <f t="shared" si="0"/>
        <v>300000</v>
      </c>
      <c r="E36" s="56">
        <f t="shared" si="1"/>
        <v>100000</v>
      </c>
      <c r="F36" s="56">
        <f t="shared" si="2"/>
        <v>70000</v>
      </c>
      <c r="G36" s="56">
        <f t="shared" si="3"/>
        <v>30000</v>
      </c>
      <c r="H36" s="56">
        <f t="shared" si="4"/>
        <v>600000</v>
      </c>
      <c r="J36" s="81" t="s">
        <v>142</v>
      </c>
    </row>
    <row r="37" spans="1:10" ht="18" customHeight="1">
      <c r="A37" s="47">
        <v>31</v>
      </c>
      <c r="B37" s="53" t="s">
        <v>76</v>
      </c>
      <c r="C37" s="5">
        <v>5700000</v>
      </c>
      <c r="D37" s="56">
        <f t="shared" si="0"/>
        <v>85500</v>
      </c>
      <c r="E37" s="56">
        <f t="shared" si="1"/>
        <v>28500</v>
      </c>
      <c r="F37" s="56">
        <f t="shared" si="2"/>
        <v>19950</v>
      </c>
      <c r="G37" s="56">
        <f t="shared" si="3"/>
        <v>8550</v>
      </c>
      <c r="H37" s="56">
        <f t="shared" si="4"/>
        <v>171000</v>
      </c>
      <c r="I37" t="s">
        <v>141</v>
      </c>
    </row>
    <row r="38" spans="1:10" ht="18" customHeight="1">
      <c r="A38" s="7">
        <v>32</v>
      </c>
      <c r="B38" s="53" t="s">
        <v>106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10" ht="18" customHeight="1">
      <c r="A39" s="47">
        <v>33</v>
      </c>
      <c r="B39" s="53" t="s">
        <v>81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  <c r="I39" t="s">
        <v>141</v>
      </c>
    </row>
    <row r="40" spans="1:10" ht="18" customHeight="1">
      <c r="A40" s="7">
        <v>34</v>
      </c>
      <c r="B40" s="53" t="s">
        <v>80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10" ht="18" customHeight="1">
      <c r="A41" s="47">
        <v>35</v>
      </c>
      <c r="B41" s="52" t="s">
        <v>82</v>
      </c>
      <c r="C41" s="5">
        <v>5700000</v>
      </c>
      <c r="D41" s="56">
        <f t="shared" si="0"/>
        <v>85500</v>
      </c>
      <c r="E41" s="56">
        <f t="shared" si="1"/>
        <v>28500</v>
      </c>
      <c r="F41" s="56">
        <f t="shared" si="2"/>
        <v>19950</v>
      </c>
      <c r="G41" s="56">
        <f t="shared" si="3"/>
        <v>8550</v>
      </c>
      <c r="H41" s="56">
        <f t="shared" si="4"/>
        <v>171000</v>
      </c>
    </row>
    <row r="42" spans="1:10" ht="18" customHeight="1">
      <c r="A42" s="7">
        <v>36</v>
      </c>
      <c r="B42" s="52" t="s">
        <v>83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  <c r="I42" t="s">
        <v>141</v>
      </c>
    </row>
    <row r="43" spans="1:10" ht="18" customHeight="1">
      <c r="A43" s="47">
        <v>37</v>
      </c>
      <c r="B43" s="52" t="s">
        <v>84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  <c r="I43" t="s">
        <v>141</v>
      </c>
    </row>
    <row r="44" spans="1:10" ht="18" customHeight="1">
      <c r="A44" s="7">
        <v>38</v>
      </c>
      <c r="B44" s="52" t="s">
        <v>85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10" ht="18" customHeight="1">
      <c r="A45" s="47">
        <v>39</v>
      </c>
      <c r="B45" s="52" t="s">
        <v>86</v>
      </c>
      <c r="C45" s="5">
        <v>0</v>
      </c>
      <c r="D45" s="56">
        <f t="shared" si="0"/>
        <v>0</v>
      </c>
      <c r="E45" s="56">
        <f t="shared" si="1"/>
        <v>0</v>
      </c>
      <c r="F45" s="56">
        <f t="shared" si="2"/>
        <v>0</v>
      </c>
      <c r="G45" s="56">
        <f t="shared" si="3"/>
        <v>0</v>
      </c>
      <c r="H45" s="56">
        <f t="shared" si="4"/>
        <v>0</v>
      </c>
      <c r="I45" t="s">
        <v>116</v>
      </c>
      <c r="J45" t="s">
        <v>141</v>
      </c>
    </row>
    <row r="46" spans="1:10" ht="18" customHeight="1">
      <c r="A46" s="7">
        <v>40</v>
      </c>
      <c r="B46" s="52" t="s">
        <v>98</v>
      </c>
      <c r="C46" s="5">
        <v>5700000</v>
      </c>
      <c r="D46" s="56">
        <f t="shared" si="0"/>
        <v>85500</v>
      </c>
      <c r="E46" s="56">
        <f t="shared" si="1"/>
        <v>28500</v>
      </c>
      <c r="F46" s="56">
        <f t="shared" si="2"/>
        <v>19950</v>
      </c>
      <c r="G46" s="56">
        <f t="shared" si="3"/>
        <v>8550</v>
      </c>
      <c r="H46" s="56">
        <f t="shared" si="4"/>
        <v>171000</v>
      </c>
      <c r="I46" s="8" t="s">
        <v>141</v>
      </c>
    </row>
    <row r="47" spans="1:10" ht="18" customHeight="1">
      <c r="A47" s="47">
        <v>41</v>
      </c>
      <c r="B47" s="52" t="s">
        <v>126</v>
      </c>
      <c r="C47" s="5">
        <v>5700000</v>
      </c>
      <c r="D47" s="56">
        <f t="shared" ref="D47" si="5">C47*0.02*0.75</f>
        <v>85500</v>
      </c>
      <c r="E47" s="56">
        <f t="shared" ref="E47" si="6">C47*0.02*0.25</f>
        <v>28500</v>
      </c>
      <c r="F47" s="56">
        <f t="shared" ref="F47" si="7">C47*0.005*0.7</f>
        <v>19950</v>
      </c>
      <c r="G47" s="56">
        <f t="shared" ref="G47" si="8">C47*0.005*0.3</f>
        <v>8550</v>
      </c>
      <c r="H47" s="56">
        <f t="shared" ref="H47" si="9">C47*0.03</f>
        <v>171000</v>
      </c>
      <c r="I47" s="8" t="s">
        <v>141</v>
      </c>
    </row>
    <row r="48" spans="1:10" ht="18" customHeight="1">
      <c r="A48" s="47">
        <v>42</v>
      </c>
      <c r="B48" s="52" t="s">
        <v>139</v>
      </c>
      <c r="C48" s="5">
        <v>5700000</v>
      </c>
      <c r="D48" s="56">
        <f t="shared" si="0"/>
        <v>85500</v>
      </c>
      <c r="E48" s="56">
        <f t="shared" si="1"/>
        <v>28500</v>
      </c>
      <c r="F48" s="56">
        <f t="shared" si="2"/>
        <v>19950</v>
      </c>
      <c r="G48" s="56">
        <f t="shared" si="3"/>
        <v>8550</v>
      </c>
      <c r="H48" s="56">
        <f t="shared" si="4"/>
        <v>171000</v>
      </c>
      <c r="I48" s="8" t="s">
        <v>141</v>
      </c>
    </row>
    <row r="49" spans="1:10" ht="18" customHeight="1">
      <c r="A49" s="9"/>
      <c r="B49" s="10"/>
      <c r="C49" s="11"/>
      <c r="D49" s="12"/>
      <c r="E49" s="12"/>
      <c r="F49" s="12"/>
      <c r="G49" s="12"/>
      <c r="H49" s="12"/>
    </row>
    <row r="50" spans="1:10" s="40" customFormat="1" ht="17.25">
      <c r="A50" s="13"/>
      <c r="B50" s="14" t="s">
        <v>9</v>
      </c>
      <c r="C50" s="15">
        <f t="shared" ref="C50:H50" si="10">SUM(C7:C49)</f>
        <v>256910000</v>
      </c>
      <c r="D50" s="15">
        <f t="shared" si="10"/>
        <v>3853650</v>
      </c>
      <c r="E50" s="15">
        <f t="shared" si="10"/>
        <v>1284550</v>
      </c>
      <c r="F50" s="15">
        <f t="shared" si="10"/>
        <v>899185</v>
      </c>
      <c r="G50" s="15">
        <f t="shared" si="10"/>
        <v>385365</v>
      </c>
      <c r="H50" s="15">
        <f t="shared" si="10"/>
        <v>7707300</v>
      </c>
      <c r="I50" s="17"/>
    </row>
    <row r="51" spans="1:10">
      <c r="A51" s="18"/>
      <c r="D51" s="19"/>
      <c r="J51" s="19"/>
    </row>
    <row r="52" spans="1:10">
      <c r="A52" s="18"/>
      <c r="D52" s="19"/>
      <c r="E52" s="86" t="s">
        <v>133</v>
      </c>
      <c r="F52" s="86"/>
      <c r="G52" s="86"/>
      <c r="H52" s="86"/>
    </row>
    <row r="53" spans="1:10">
      <c r="A53" s="18"/>
      <c r="E53" s="86" t="s">
        <v>10</v>
      </c>
      <c r="F53" s="86"/>
      <c r="G53" s="86"/>
      <c r="H53" s="86"/>
    </row>
    <row r="54" spans="1:10">
      <c r="A54" s="18"/>
      <c r="I54" s="20"/>
    </row>
    <row r="55" spans="1:10">
      <c r="A55" s="18"/>
      <c r="I55" s="19"/>
    </row>
    <row r="56" spans="1:10">
      <c r="A56" s="18"/>
    </row>
    <row r="58" spans="1:10">
      <c r="E58" s="87" t="s">
        <v>51</v>
      </c>
      <c r="F58" s="87"/>
      <c r="G58" s="87"/>
      <c r="H58" s="87"/>
    </row>
    <row r="60" spans="1:10">
      <c r="H60" s="19"/>
    </row>
  </sheetData>
  <mergeCells count="9">
    <mergeCell ref="E52:H52"/>
    <mergeCell ref="E53:H53"/>
    <mergeCell ref="E58:H58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CC33-1546-4ED4-A5FA-A2444DF9017D}">
  <dimension ref="A1:K61"/>
  <sheetViews>
    <sheetView topLeftCell="A31" workbookViewId="0">
      <selection activeCell="B47" sqref="B47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135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 t="s">
        <v>118</v>
      </c>
      <c r="K7" s="74"/>
    </row>
    <row r="8" spans="1:11" ht="18" customHeight="1">
      <c r="A8" s="7">
        <v>2</v>
      </c>
      <c r="B8" s="49" t="s">
        <v>53</v>
      </c>
      <c r="C8" s="5">
        <v>5700000</v>
      </c>
      <c r="D8" s="56">
        <f t="shared" ref="D8:D48" si="0">C8*0.02*0.75</f>
        <v>85500</v>
      </c>
      <c r="E8" s="56">
        <f t="shared" ref="E8:E48" si="1">C8*0.02*0.25</f>
        <v>28500</v>
      </c>
      <c r="F8" s="56">
        <f t="shared" ref="F8:F48" si="2">C8*0.005*0.7</f>
        <v>19950</v>
      </c>
      <c r="G8" s="56">
        <f t="shared" ref="G8:G48" si="3">C8*0.005*0.3</f>
        <v>8550</v>
      </c>
      <c r="H8" s="56">
        <f t="shared" ref="H8:H48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</row>
    <row r="10" spans="1:11" ht="18" customHeight="1">
      <c r="A10" s="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 t="shared" si="0"/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8" ht="18" customHeight="1">
      <c r="A18" s="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8" ht="18" customHeight="1">
      <c r="A20" s="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</row>
    <row r="22" spans="1:8" ht="18" customHeight="1">
      <c r="A22" s="7">
        <v>16</v>
      </c>
      <c r="B22" s="52" t="s">
        <v>68</v>
      </c>
      <c r="C22" s="5">
        <v>5700000</v>
      </c>
      <c r="D22" s="56">
        <f t="shared" si="0"/>
        <v>85500</v>
      </c>
      <c r="E22" s="56">
        <f t="shared" si="1"/>
        <v>28500</v>
      </c>
      <c r="F22" s="56">
        <f t="shared" si="2"/>
        <v>19950</v>
      </c>
      <c r="G22" s="56">
        <f t="shared" si="3"/>
        <v>8550</v>
      </c>
      <c r="H22" s="56">
        <f t="shared" si="4"/>
        <v>171000</v>
      </c>
    </row>
    <row r="23" spans="1:8" ht="18" customHeight="1">
      <c r="A23" s="47">
        <v>17</v>
      </c>
      <c r="B23" s="52" t="s">
        <v>117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8" ht="18" customHeight="1">
      <c r="A24" s="7">
        <v>18</v>
      </c>
      <c r="B24" s="49" t="s">
        <v>62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</row>
    <row r="25" spans="1:8" ht="18" customHeight="1">
      <c r="A25" s="47">
        <v>19</v>
      </c>
      <c r="B25" s="52" t="s">
        <v>8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</row>
    <row r="26" spans="1:8" ht="18" customHeight="1">
      <c r="A26" s="7">
        <v>20</v>
      </c>
      <c r="B26" s="52" t="s">
        <v>69</v>
      </c>
      <c r="C26" s="5">
        <v>15000000</v>
      </c>
      <c r="D26" s="56">
        <f t="shared" si="0"/>
        <v>225000</v>
      </c>
      <c r="E26" s="56">
        <f t="shared" si="1"/>
        <v>75000</v>
      </c>
      <c r="F26" s="56">
        <f t="shared" si="2"/>
        <v>52500</v>
      </c>
      <c r="G26" s="56">
        <f t="shared" si="3"/>
        <v>22500</v>
      </c>
      <c r="H26" s="56">
        <f t="shared" si="4"/>
        <v>450000</v>
      </c>
    </row>
    <row r="27" spans="1:8" ht="18" customHeight="1">
      <c r="A27" s="47">
        <v>21</v>
      </c>
      <c r="B27" s="52" t="s">
        <v>70</v>
      </c>
      <c r="C27" s="5">
        <v>5700000</v>
      </c>
      <c r="D27" s="56">
        <f t="shared" si="0"/>
        <v>85500</v>
      </c>
      <c r="E27" s="56">
        <f t="shared" si="1"/>
        <v>28500</v>
      </c>
      <c r="F27" s="56">
        <f t="shared" si="2"/>
        <v>19950</v>
      </c>
      <c r="G27" s="56">
        <f t="shared" si="3"/>
        <v>8550</v>
      </c>
      <c r="H27" s="56">
        <f t="shared" si="4"/>
        <v>171000</v>
      </c>
    </row>
    <row r="28" spans="1:8" ht="18" customHeight="1">
      <c r="A28" s="7">
        <v>22</v>
      </c>
      <c r="B28" s="52" t="s">
        <v>42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8" ht="18" customHeight="1">
      <c r="A29" s="47">
        <v>23</v>
      </c>
      <c r="B29" s="53" t="s">
        <v>71</v>
      </c>
      <c r="C29" s="5">
        <v>5310000</v>
      </c>
      <c r="D29" s="56">
        <f t="shared" si="0"/>
        <v>79650</v>
      </c>
      <c r="E29" s="56">
        <f t="shared" si="1"/>
        <v>26550</v>
      </c>
      <c r="F29" s="56">
        <f t="shared" si="2"/>
        <v>18585</v>
      </c>
      <c r="G29" s="56">
        <f t="shared" si="3"/>
        <v>7965</v>
      </c>
      <c r="H29" s="56">
        <f t="shared" si="4"/>
        <v>159300</v>
      </c>
    </row>
    <row r="30" spans="1:8" ht="18" customHeight="1">
      <c r="A30" s="7">
        <v>24</v>
      </c>
      <c r="B30" s="53" t="s">
        <v>72</v>
      </c>
      <c r="C30" s="5">
        <v>5700000</v>
      </c>
      <c r="D30" s="56">
        <f t="shared" si="0"/>
        <v>85500</v>
      </c>
      <c r="E30" s="56">
        <f t="shared" si="1"/>
        <v>28500</v>
      </c>
      <c r="F30" s="56">
        <f t="shared" si="2"/>
        <v>19950</v>
      </c>
      <c r="G30" s="56">
        <f t="shared" si="3"/>
        <v>8550</v>
      </c>
      <c r="H30" s="56">
        <f t="shared" si="4"/>
        <v>171000</v>
      </c>
    </row>
    <row r="31" spans="1:8" ht="18" customHeight="1">
      <c r="A31" s="47">
        <v>25</v>
      </c>
      <c r="B31" s="53" t="s">
        <v>73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</row>
    <row r="32" spans="1:8" ht="18" customHeight="1">
      <c r="A32" s="7">
        <v>26</v>
      </c>
      <c r="B32" s="53" t="s">
        <v>74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9" ht="18" customHeight="1">
      <c r="A33" s="47">
        <v>27</v>
      </c>
      <c r="B33" s="53" t="s">
        <v>75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9" ht="18" customHeight="1">
      <c r="A34" s="7">
        <v>28</v>
      </c>
      <c r="B34" s="53" t="s">
        <v>77</v>
      </c>
      <c r="C34" s="5">
        <v>0</v>
      </c>
      <c r="D34" s="56">
        <f t="shared" ref="D34" si="5">C34*0.02*0.75</f>
        <v>0</v>
      </c>
      <c r="E34" s="56">
        <f t="shared" ref="E34" si="6">C34*0.02*0.25</f>
        <v>0</v>
      </c>
      <c r="F34" s="56">
        <f t="shared" ref="F34" si="7">C34*0.005*0.7</f>
        <v>0</v>
      </c>
      <c r="G34" s="56">
        <f t="shared" ref="G34" si="8">C34*0.005*0.3</f>
        <v>0</v>
      </c>
      <c r="H34" s="56">
        <f t="shared" ref="H34" si="9">C34*0.03</f>
        <v>0</v>
      </c>
      <c r="I34" t="s">
        <v>116</v>
      </c>
    </row>
    <row r="35" spans="1:9" ht="18" customHeight="1">
      <c r="A35" s="47">
        <v>29</v>
      </c>
      <c r="B35" s="53" t="s">
        <v>78</v>
      </c>
      <c r="C35" s="5">
        <v>5700000</v>
      </c>
      <c r="D35" s="56">
        <f t="shared" si="0"/>
        <v>85500</v>
      </c>
      <c r="E35" s="56">
        <f t="shared" si="1"/>
        <v>28500</v>
      </c>
      <c r="F35" s="56">
        <f t="shared" si="2"/>
        <v>19950</v>
      </c>
      <c r="G35" s="56">
        <f t="shared" si="3"/>
        <v>8550</v>
      </c>
      <c r="H35" s="56">
        <f t="shared" si="4"/>
        <v>171000</v>
      </c>
    </row>
    <row r="36" spans="1:9" ht="18" customHeight="1">
      <c r="A36" s="7">
        <v>30</v>
      </c>
      <c r="B36" s="52" t="s">
        <v>97</v>
      </c>
      <c r="C36" s="5">
        <v>20000000</v>
      </c>
      <c r="D36" s="56">
        <f t="shared" si="0"/>
        <v>300000</v>
      </c>
      <c r="E36" s="56">
        <f t="shared" si="1"/>
        <v>100000</v>
      </c>
      <c r="F36" s="56">
        <f t="shared" si="2"/>
        <v>70000</v>
      </c>
      <c r="G36" s="56">
        <f t="shared" si="3"/>
        <v>30000</v>
      </c>
      <c r="H36" s="56">
        <f t="shared" si="4"/>
        <v>600000</v>
      </c>
    </row>
    <row r="37" spans="1:9" ht="18" customHeight="1">
      <c r="A37" s="47">
        <v>31</v>
      </c>
      <c r="B37" s="53" t="s">
        <v>76</v>
      </c>
      <c r="C37" s="5">
        <v>5700000</v>
      </c>
      <c r="D37" s="56">
        <f t="shared" si="0"/>
        <v>85500</v>
      </c>
      <c r="E37" s="56">
        <f t="shared" si="1"/>
        <v>28500</v>
      </c>
      <c r="F37" s="56">
        <f t="shared" si="2"/>
        <v>19950</v>
      </c>
      <c r="G37" s="56">
        <f t="shared" si="3"/>
        <v>8550</v>
      </c>
      <c r="H37" s="56">
        <f t="shared" si="4"/>
        <v>171000</v>
      </c>
    </row>
    <row r="38" spans="1:9" ht="18" customHeight="1">
      <c r="A38" s="7">
        <v>32</v>
      </c>
      <c r="B38" s="53" t="s">
        <v>106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9" ht="18" customHeight="1">
      <c r="A39" s="47">
        <v>33</v>
      </c>
      <c r="B39" s="53" t="s">
        <v>81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</row>
    <row r="40" spans="1:9" ht="18" customHeight="1">
      <c r="A40" s="7">
        <v>34</v>
      </c>
      <c r="B40" s="53" t="s">
        <v>80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9" ht="18" customHeight="1">
      <c r="A41" s="47">
        <v>35</v>
      </c>
      <c r="B41" s="52" t="s">
        <v>82</v>
      </c>
      <c r="C41" s="5">
        <v>5700000</v>
      </c>
      <c r="D41" s="56">
        <f t="shared" si="0"/>
        <v>85500</v>
      </c>
      <c r="E41" s="56">
        <f t="shared" si="1"/>
        <v>28500</v>
      </c>
      <c r="F41" s="56">
        <f t="shared" si="2"/>
        <v>19950</v>
      </c>
      <c r="G41" s="56">
        <f t="shared" si="3"/>
        <v>8550</v>
      </c>
      <c r="H41" s="56">
        <f t="shared" si="4"/>
        <v>171000</v>
      </c>
    </row>
    <row r="42" spans="1:9" ht="18" customHeight="1">
      <c r="A42" s="7">
        <v>36</v>
      </c>
      <c r="B42" s="52" t="s">
        <v>83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</row>
    <row r="43" spans="1:9" ht="18" customHeight="1">
      <c r="A43" s="47">
        <v>37</v>
      </c>
      <c r="B43" s="52" t="s">
        <v>84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</row>
    <row r="44" spans="1:9" ht="18" customHeight="1">
      <c r="A44" s="7">
        <v>38</v>
      </c>
      <c r="B44" s="52" t="s">
        <v>85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9" ht="18" customHeight="1">
      <c r="A45" s="47">
        <v>39</v>
      </c>
      <c r="B45" s="52" t="s">
        <v>86</v>
      </c>
      <c r="C45" s="5">
        <v>0</v>
      </c>
      <c r="D45" s="56">
        <f t="shared" si="0"/>
        <v>0</v>
      </c>
      <c r="E45" s="56">
        <f t="shared" si="1"/>
        <v>0</v>
      </c>
      <c r="F45" s="56">
        <f t="shared" si="2"/>
        <v>0</v>
      </c>
      <c r="G45" s="56">
        <f t="shared" si="3"/>
        <v>0</v>
      </c>
      <c r="H45" s="56">
        <f t="shared" si="4"/>
        <v>0</v>
      </c>
      <c r="I45" t="s">
        <v>116</v>
      </c>
    </row>
    <row r="46" spans="1:9" ht="18" customHeight="1">
      <c r="A46" s="7">
        <v>40</v>
      </c>
      <c r="B46" s="52" t="s">
        <v>98</v>
      </c>
      <c r="C46" s="5">
        <v>5700000</v>
      </c>
      <c r="D46" s="56">
        <f t="shared" si="0"/>
        <v>85500</v>
      </c>
      <c r="E46" s="56">
        <f t="shared" si="1"/>
        <v>28500</v>
      </c>
      <c r="F46" s="56">
        <f t="shared" si="2"/>
        <v>19950</v>
      </c>
      <c r="G46" s="56">
        <f t="shared" si="3"/>
        <v>8550</v>
      </c>
      <c r="H46" s="56">
        <f t="shared" si="4"/>
        <v>171000</v>
      </c>
      <c r="I46" s="8"/>
    </row>
    <row r="47" spans="1:9" ht="18" customHeight="1">
      <c r="A47" s="47">
        <v>41</v>
      </c>
      <c r="B47" s="52" t="s">
        <v>126</v>
      </c>
      <c r="C47" s="5">
        <v>5700000</v>
      </c>
      <c r="D47" s="56">
        <f t="shared" ref="D47" si="10">C47*0.02*0.75</f>
        <v>85500</v>
      </c>
      <c r="E47" s="56">
        <f t="shared" ref="E47" si="11">C47*0.02*0.25</f>
        <v>28500</v>
      </c>
      <c r="F47" s="56">
        <f t="shared" ref="F47" si="12">C47*0.005*0.7</f>
        <v>19950</v>
      </c>
      <c r="G47" s="56">
        <f t="shared" ref="G47" si="13">C47*0.005*0.3</f>
        <v>8550</v>
      </c>
      <c r="H47" s="56">
        <f t="shared" ref="H47" si="14">C47*0.03</f>
        <v>171000</v>
      </c>
      <c r="I47" s="8"/>
    </row>
    <row r="48" spans="1:9" ht="18" customHeight="1">
      <c r="A48" s="47">
        <v>42</v>
      </c>
      <c r="B48" s="52" t="s">
        <v>140</v>
      </c>
      <c r="C48" s="5">
        <v>5700000</v>
      </c>
      <c r="D48" s="56">
        <f t="shared" si="0"/>
        <v>85500</v>
      </c>
      <c r="E48" s="56">
        <f t="shared" si="1"/>
        <v>28500</v>
      </c>
      <c r="F48" s="56">
        <f t="shared" si="2"/>
        <v>19950</v>
      </c>
      <c r="G48" s="56">
        <f t="shared" si="3"/>
        <v>8550</v>
      </c>
      <c r="H48" s="56">
        <f t="shared" si="4"/>
        <v>171000</v>
      </c>
      <c r="I48" s="8"/>
    </row>
    <row r="49" spans="1:10" ht="18" customHeight="1">
      <c r="A49" s="47">
        <v>43</v>
      </c>
      <c r="B49" s="52" t="s">
        <v>143</v>
      </c>
      <c r="C49" s="5">
        <v>5700000</v>
      </c>
      <c r="D49" s="56">
        <f t="shared" ref="D49" si="15">C49*0.02*0.75</f>
        <v>85500</v>
      </c>
      <c r="E49" s="56">
        <f t="shared" ref="E49" si="16">C49*0.02*0.25</f>
        <v>28500</v>
      </c>
      <c r="F49" s="56">
        <f t="shared" ref="F49" si="17">C49*0.005*0.7</f>
        <v>19950</v>
      </c>
      <c r="G49" s="56">
        <f t="shared" ref="G49" si="18">C49*0.005*0.3</f>
        <v>8550</v>
      </c>
      <c r="H49" s="56">
        <f t="shared" ref="H49" si="19">C49*0.03</f>
        <v>171000</v>
      </c>
      <c r="I49" s="8"/>
    </row>
    <row r="50" spans="1:10" ht="18" customHeight="1">
      <c r="A50" s="9"/>
      <c r="B50" s="10"/>
      <c r="C50" s="11"/>
      <c r="D50" s="12"/>
      <c r="E50" s="12"/>
      <c r="F50" s="12"/>
      <c r="G50" s="12"/>
      <c r="H50" s="12"/>
    </row>
    <row r="51" spans="1:10" s="40" customFormat="1" ht="17.25">
      <c r="A51" s="13"/>
      <c r="B51" s="14" t="s">
        <v>9</v>
      </c>
      <c r="C51" s="15">
        <f>SUM(C7:C50)</f>
        <v>256910000</v>
      </c>
      <c r="D51" s="15">
        <f t="shared" ref="D51:H51" si="20">SUM(D7:D50)</f>
        <v>3853650</v>
      </c>
      <c r="E51" s="15">
        <f t="shared" si="20"/>
        <v>1284550</v>
      </c>
      <c r="F51" s="15">
        <f>SUM(F7:F50)</f>
        <v>899185</v>
      </c>
      <c r="G51" s="15">
        <f>SUM(G7:G50)</f>
        <v>385365</v>
      </c>
      <c r="H51" s="15">
        <f t="shared" si="20"/>
        <v>7707300</v>
      </c>
      <c r="I51" s="17"/>
    </row>
    <row r="52" spans="1:10">
      <c r="A52" s="18"/>
      <c r="D52" s="19"/>
      <c r="J52" s="19"/>
    </row>
    <row r="53" spans="1:10">
      <c r="A53" s="18"/>
      <c r="D53" s="19"/>
      <c r="E53" s="86" t="s">
        <v>136</v>
      </c>
      <c r="F53" s="86"/>
      <c r="G53" s="86"/>
      <c r="H53" s="86"/>
    </row>
    <row r="54" spans="1:10">
      <c r="A54" s="18"/>
      <c r="E54" s="86" t="s">
        <v>10</v>
      </c>
      <c r="F54" s="86"/>
      <c r="G54" s="86"/>
      <c r="H54" s="86"/>
    </row>
    <row r="55" spans="1:10">
      <c r="A55" s="18"/>
      <c r="I55" s="20"/>
    </row>
    <row r="56" spans="1:10">
      <c r="A56" s="18"/>
      <c r="I56" s="19"/>
    </row>
    <row r="57" spans="1:10">
      <c r="A57" s="18"/>
    </row>
    <row r="59" spans="1:10">
      <c r="E59" s="87" t="s">
        <v>51</v>
      </c>
      <c r="F59" s="87"/>
      <c r="G59" s="87"/>
      <c r="H59" s="87"/>
    </row>
    <row r="61" spans="1:10">
      <c r="H61" s="19"/>
    </row>
  </sheetData>
  <mergeCells count="9">
    <mergeCell ref="E53:H53"/>
    <mergeCell ref="E54:H54"/>
    <mergeCell ref="E59:H59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99F-7E3F-445C-8035-7531212981AB}">
  <dimension ref="A1:K62"/>
  <sheetViews>
    <sheetView topLeftCell="A28" workbookViewId="0">
      <selection activeCell="C47" sqref="C47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149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 t="s">
        <v>118</v>
      </c>
      <c r="K7" s="74"/>
    </row>
    <row r="8" spans="1:11" ht="18" customHeight="1">
      <c r="A8" s="47">
        <v>2</v>
      </c>
      <c r="B8" s="49" t="s">
        <v>53</v>
      </c>
      <c r="C8" s="5">
        <v>5700000</v>
      </c>
      <c r="D8" s="56">
        <f t="shared" ref="D8:D50" si="0">C8*0.02*0.75</f>
        <v>85500</v>
      </c>
      <c r="E8" s="56">
        <f t="shared" ref="E8:E50" si="1">C8*0.02*0.25</f>
        <v>28500</v>
      </c>
      <c r="F8" s="56">
        <f t="shared" ref="F8:F50" si="2">C8*0.005*0.7</f>
        <v>19950</v>
      </c>
      <c r="G8" s="56">
        <f t="shared" ref="G8:G50" si="3">C8*0.005*0.3</f>
        <v>8550</v>
      </c>
      <c r="H8" s="56">
        <f t="shared" ref="H8:H50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</row>
    <row r="10" spans="1:11" ht="18" customHeight="1">
      <c r="A10" s="4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4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4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4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 t="shared" si="0"/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8" ht="18" customHeight="1">
      <c r="A18" s="4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8" ht="18" customHeight="1">
      <c r="A20" s="4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</row>
    <row r="22" spans="1:8" ht="18" customHeight="1">
      <c r="A22" s="47">
        <v>16</v>
      </c>
      <c r="B22" s="49" t="s">
        <v>145</v>
      </c>
      <c r="C22" s="5">
        <v>5700000</v>
      </c>
      <c r="D22" s="56">
        <f t="shared" ref="D22" si="5">C22*0.02*0.75</f>
        <v>85500</v>
      </c>
      <c r="E22" s="56">
        <f>C22*0.02*0.25</f>
        <v>28500</v>
      </c>
      <c r="F22" s="56">
        <f t="shared" ref="F22" si="6">C22*0.005*0.7</f>
        <v>19950</v>
      </c>
      <c r="G22" s="56">
        <f t="shared" ref="G22" si="7">C22*0.005*0.3</f>
        <v>8550</v>
      </c>
      <c r="H22" s="56">
        <f t="shared" ref="H22" si="8">C22*0.03</f>
        <v>171000</v>
      </c>
    </row>
    <row r="23" spans="1:8" ht="18" customHeight="1">
      <c r="A23" s="47">
        <v>17</v>
      </c>
      <c r="B23" s="52" t="s">
        <v>68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8" ht="18" customHeight="1">
      <c r="A24" s="47">
        <v>18</v>
      </c>
      <c r="B24" s="52" t="s">
        <v>117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</row>
    <row r="25" spans="1:8" ht="18" customHeight="1">
      <c r="A25" s="47">
        <v>19</v>
      </c>
      <c r="B25" s="49" t="s">
        <v>62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</row>
    <row r="26" spans="1:8" ht="18" customHeight="1">
      <c r="A26" s="47">
        <v>20</v>
      </c>
      <c r="B26" s="52" t="s">
        <v>8</v>
      </c>
      <c r="C26" s="5">
        <v>5700000</v>
      </c>
      <c r="D26" s="56">
        <f t="shared" si="0"/>
        <v>85500</v>
      </c>
      <c r="E26" s="56">
        <f t="shared" si="1"/>
        <v>28500</v>
      </c>
      <c r="F26" s="56">
        <f t="shared" si="2"/>
        <v>19950</v>
      </c>
      <c r="G26" s="56">
        <f t="shared" si="3"/>
        <v>8550</v>
      </c>
      <c r="H26" s="56">
        <f t="shared" si="4"/>
        <v>171000</v>
      </c>
    </row>
    <row r="27" spans="1:8" ht="18" customHeight="1">
      <c r="A27" s="47">
        <v>21</v>
      </c>
      <c r="B27" s="52" t="s">
        <v>69</v>
      </c>
      <c r="C27" s="5">
        <v>15000000</v>
      </c>
      <c r="D27" s="56">
        <f t="shared" si="0"/>
        <v>225000</v>
      </c>
      <c r="E27" s="56">
        <f t="shared" si="1"/>
        <v>75000</v>
      </c>
      <c r="F27" s="56">
        <f t="shared" si="2"/>
        <v>52500</v>
      </c>
      <c r="G27" s="56">
        <f t="shared" si="3"/>
        <v>22500</v>
      </c>
      <c r="H27" s="56">
        <f t="shared" si="4"/>
        <v>450000</v>
      </c>
    </row>
    <row r="28" spans="1:8" ht="18" customHeight="1">
      <c r="A28" s="47">
        <v>22</v>
      </c>
      <c r="B28" s="52" t="s">
        <v>70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8" ht="18" customHeight="1">
      <c r="A29" s="47">
        <v>23</v>
      </c>
      <c r="B29" s="52" t="s">
        <v>42</v>
      </c>
      <c r="C29" s="5">
        <v>5700000</v>
      </c>
      <c r="D29" s="56">
        <f t="shared" si="0"/>
        <v>85500</v>
      </c>
      <c r="E29" s="56">
        <f t="shared" si="1"/>
        <v>28500</v>
      </c>
      <c r="F29" s="56">
        <f t="shared" si="2"/>
        <v>19950</v>
      </c>
      <c r="G29" s="56">
        <f t="shared" si="3"/>
        <v>8550</v>
      </c>
      <c r="H29" s="56">
        <f t="shared" si="4"/>
        <v>171000</v>
      </c>
    </row>
    <row r="30" spans="1:8" ht="18" customHeight="1">
      <c r="A30" s="47">
        <v>24</v>
      </c>
      <c r="B30" s="53" t="s">
        <v>71</v>
      </c>
      <c r="C30" s="5">
        <v>5310000</v>
      </c>
      <c r="D30" s="56">
        <f t="shared" si="0"/>
        <v>79650</v>
      </c>
      <c r="E30" s="56">
        <f t="shared" si="1"/>
        <v>26550</v>
      </c>
      <c r="F30" s="56">
        <f t="shared" si="2"/>
        <v>18585</v>
      </c>
      <c r="G30" s="56">
        <f t="shared" si="3"/>
        <v>7965</v>
      </c>
      <c r="H30" s="56">
        <f t="shared" si="4"/>
        <v>159300</v>
      </c>
    </row>
    <row r="31" spans="1:8" ht="18" customHeight="1">
      <c r="A31" s="47">
        <v>25</v>
      </c>
      <c r="B31" s="53" t="s">
        <v>72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</row>
    <row r="32" spans="1:8" ht="18" customHeight="1">
      <c r="A32" s="47">
        <v>26</v>
      </c>
      <c r="B32" s="53" t="s">
        <v>73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9" ht="18" customHeight="1">
      <c r="A33" s="47">
        <v>27</v>
      </c>
      <c r="B33" s="53" t="s">
        <v>74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9" ht="18" customHeight="1">
      <c r="A34" s="47">
        <v>28</v>
      </c>
      <c r="B34" s="53" t="s">
        <v>75</v>
      </c>
      <c r="C34" s="5">
        <v>5700000</v>
      </c>
      <c r="D34" s="56">
        <f t="shared" si="0"/>
        <v>85500</v>
      </c>
      <c r="E34" s="56">
        <f t="shared" si="1"/>
        <v>28500</v>
      </c>
      <c r="F34" s="56">
        <f t="shared" si="2"/>
        <v>19950</v>
      </c>
      <c r="G34" s="56">
        <f t="shared" si="3"/>
        <v>8550</v>
      </c>
      <c r="H34" s="56">
        <f t="shared" si="4"/>
        <v>171000</v>
      </c>
    </row>
    <row r="35" spans="1:9" ht="18" customHeight="1">
      <c r="A35" s="47">
        <v>29</v>
      </c>
      <c r="B35" s="53" t="s">
        <v>77</v>
      </c>
      <c r="C35" s="5">
        <v>0</v>
      </c>
      <c r="D35" s="56">
        <f t="shared" si="0"/>
        <v>0</v>
      </c>
      <c r="E35" s="56">
        <f t="shared" si="1"/>
        <v>0</v>
      </c>
      <c r="F35" s="56">
        <f t="shared" si="2"/>
        <v>0</v>
      </c>
      <c r="G35" s="56">
        <f t="shared" si="3"/>
        <v>0</v>
      </c>
      <c r="H35" s="56">
        <f t="shared" si="4"/>
        <v>0</v>
      </c>
      <c r="I35" t="s">
        <v>116</v>
      </c>
    </row>
    <row r="36" spans="1:9" ht="18" customHeight="1">
      <c r="A36" s="47">
        <v>30</v>
      </c>
      <c r="B36" s="53" t="s">
        <v>78</v>
      </c>
      <c r="C36" s="5">
        <v>5700000</v>
      </c>
      <c r="D36" s="56">
        <f t="shared" si="0"/>
        <v>85500</v>
      </c>
      <c r="E36" s="56">
        <f t="shared" si="1"/>
        <v>28500</v>
      </c>
      <c r="F36" s="56">
        <f t="shared" si="2"/>
        <v>19950</v>
      </c>
      <c r="G36" s="56">
        <f t="shared" si="3"/>
        <v>8550</v>
      </c>
      <c r="H36" s="56">
        <f t="shared" si="4"/>
        <v>171000</v>
      </c>
    </row>
    <row r="37" spans="1:9" ht="18" customHeight="1">
      <c r="A37" s="47">
        <v>31</v>
      </c>
      <c r="B37" s="52" t="s">
        <v>97</v>
      </c>
      <c r="C37" s="5">
        <v>20000000</v>
      </c>
      <c r="D37" s="56">
        <f t="shared" si="0"/>
        <v>300000</v>
      </c>
      <c r="E37" s="56">
        <f t="shared" si="1"/>
        <v>100000</v>
      </c>
      <c r="F37" s="56">
        <f t="shared" si="2"/>
        <v>70000</v>
      </c>
      <c r="G37" s="56">
        <f t="shared" si="3"/>
        <v>30000</v>
      </c>
      <c r="H37" s="56">
        <f t="shared" si="4"/>
        <v>600000</v>
      </c>
    </row>
    <row r="38" spans="1:9" ht="18" customHeight="1">
      <c r="A38" s="47">
        <v>32</v>
      </c>
      <c r="B38" s="53" t="s">
        <v>76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9" ht="18" customHeight="1">
      <c r="A39" s="47">
        <v>33</v>
      </c>
      <c r="B39" s="53" t="s">
        <v>106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</row>
    <row r="40" spans="1:9" ht="18" customHeight="1">
      <c r="A40" s="47">
        <v>34</v>
      </c>
      <c r="B40" s="53" t="s">
        <v>81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9" ht="18" customHeight="1">
      <c r="A41" s="47">
        <v>35</v>
      </c>
      <c r="B41" s="53" t="s">
        <v>80</v>
      </c>
      <c r="C41" s="5">
        <v>5700000</v>
      </c>
      <c r="D41" s="56">
        <f t="shared" si="0"/>
        <v>85500</v>
      </c>
      <c r="E41" s="56">
        <f t="shared" si="1"/>
        <v>28500</v>
      </c>
      <c r="F41" s="56">
        <f t="shared" si="2"/>
        <v>19950</v>
      </c>
      <c r="G41" s="56">
        <f t="shared" si="3"/>
        <v>8550</v>
      </c>
      <c r="H41" s="56">
        <f t="shared" si="4"/>
        <v>171000</v>
      </c>
    </row>
    <row r="42" spans="1:9" ht="18" customHeight="1">
      <c r="A42" s="47">
        <v>36</v>
      </c>
      <c r="B42" s="52" t="s">
        <v>82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</row>
    <row r="43" spans="1:9" ht="18" customHeight="1">
      <c r="A43" s="47">
        <v>37</v>
      </c>
      <c r="B43" s="52" t="s">
        <v>83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</row>
    <row r="44" spans="1:9" ht="18" customHeight="1">
      <c r="A44" s="47">
        <v>38</v>
      </c>
      <c r="B44" s="52" t="s">
        <v>84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9" ht="18" customHeight="1">
      <c r="A45" s="47">
        <v>39</v>
      </c>
      <c r="B45" s="52" t="s">
        <v>85</v>
      </c>
      <c r="C45" s="5">
        <v>5700000</v>
      </c>
      <c r="D45" s="56">
        <f t="shared" si="0"/>
        <v>85500</v>
      </c>
      <c r="E45" s="56">
        <f t="shared" si="1"/>
        <v>28500</v>
      </c>
      <c r="F45" s="56">
        <f t="shared" si="2"/>
        <v>19950</v>
      </c>
      <c r="G45" s="56">
        <f t="shared" si="3"/>
        <v>8550</v>
      </c>
      <c r="H45" s="56">
        <f t="shared" si="4"/>
        <v>171000</v>
      </c>
    </row>
    <row r="46" spans="1:9" ht="18" customHeight="1">
      <c r="A46" s="47">
        <v>40</v>
      </c>
      <c r="B46" s="52" t="s">
        <v>86</v>
      </c>
      <c r="C46" s="5">
        <v>0</v>
      </c>
      <c r="D46" s="56">
        <f t="shared" si="0"/>
        <v>0</v>
      </c>
      <c r="E46" s="56">
        <f t="shared" si="1"/>
        <v>0</v>
      </c>
      <c r="F46" s="56">
        <f t="shared" si="2"/>
        <v>0</v>
      </c>
      <c r="G46" s="56">
        <f t="shared" si="3"/>
        <v>0</v>
      </c>
      <c r="H46" s="56">
        <f t="shared" si="4"/>
        <v>0</v>
      </c>
      <c r="I46" t="s">
        <v>146</v>
      </c>
    </row>
    <row r="47" spans="1:9" ht="18" customHeight="1">
      <c r="A47" s="47">
        <v>41</v>
      </c>
      <c r="B47" s="52" t="s">
        <v>98</v>
      </c>
      <c r="C47" s="5">
        <v>5700000</v>
      </c>
      <c r="D47" s="56">
        <f t="shared" si="0"/>
        <v>85500</v>
      </c>
      <c r="E47" s="56">
        <f t="shared" si="1"/>
        <v>28500</v>
      </c>
      <c r="F47" s="56">
        <f t="shared" si="2"/>
        <v>19950</v>
      </c>
      <c r="G47" s="56">
        <f t="shared" si="3"/>
        <v>8550</v>
      </c>
      <c r="H47" s="56">
        <f t="shared" si="4"/>
        <v>171000</v>
      </c>
      <c r="I47" s="8"/>
    </row>
    <row r="48" spans="1:9" ht="18" customHeight="1">
      <c r="A48" s="47">
        <v>42</v>
      </c>
      <c r="B48" s="52" t="s">
        <v>126</v>
      </c>
      <c r="C48" s="5">
        <v>5700000</v>
      </c>
      <c r="D48" s="56">
        <f t="shared" si="0"/>
        <v>85500</v>
      </c>
      <c r="E48" s="56">
        <f t="shared" si="1"/>
        <v>28500</v>
      </c>
      <c r="F48" s="56">
        <f t="shared" si="2"/>
        <v>19950</v>
      </c>
      <c r="G48" s="56">
        <f t="shared" si="3"/>
        <v>8550</v>
      </c>
      <c r="H48" s="56">
        <f t="shared" si="4"/>
        <v>171000</v>
      </c>
      <c r="I48" s="8"/>
    </row>
    <row r="49" spans="1:10" ht="18" customHeight="1">
      <c r="A49" s="47">
        <v>43</v>
      </c>
      <c r="B49" s="52" t="s">
        <v>140</v>
      </c>
      <c r="C49" s="5">
        <v>5700000</v>
      </c>
      <c r="D49" s="56">
        <f t="shared" si="0"/>
        <v>85500</v>
      </c>
      <c r="E49" s="56">
        <f t="shared" si="1"/>
        <v>28500</v>
      </c>
      <c r="F49" s="56">
        <f t="shared" si="2"/>
        <v>19950</v>
      </c>
      <c r="G49" s="56">
        <f t="shared" si="3"/>
        <v>8550</v>
      </c>
      <c r="H49" s="56">
        <f t="shared" si="4"/>
        <v>171000</v>
      </c>
      <c r="I49" s="8"/>
    </row>
    <row r="50" spans="1:10" ht="18" customHeight="1">
      <c r="A50" s="47">
        <v>44</v>
      </c>
      <c r="B50" s="52" t="s">
        <v>143</v>
      </c>
      <c r="C50" s="5">
        <v>5700000</v>
      </c>
      <c r="D50" s="56">
        <f t="shared" si="0"/>
        <v>85500</v>
      </c>
      <c r="E50" s="56">
        <f t="shared" si="1"/>
        <v>28500</v>
      </c>
      <c r="F50" s="56">
        <f t="shared" si="2"/>
        <v>19950</v>
      </c>
      <c r="G50" s="56">
        <f t="shared" si="3"/>
        <v>8550</v>
      </c>
      <c r="H50" s="56">
        <f t="shared" si="4"/>
        <v>171000</v>
      </c>
      <c r="I50" s="8"/>
    </row>
    <row r="51" spans="1:10" ht="18" customHeight="1">
      <c r="A51" s="9"/>
      <c r="B51" s="10"/>
      <c r="C51" s="11"/>
      <c r="D51" s="12"/>
      <c r="E51" s="12"/>
      <c r="F51" s="12"/>
      <c r="G51" s="12"/>
      <c r="H51" s="12"/>
    </row>
    <row r="52" spans="1:10" s="40" customFormat="1" ht="17.25">
      <c r="A52" s="13"/>
      <c r="B52" s="14" t="s">
        <v>9</v>
      </c>
      <c r="C52" s="15">
        <f>SUM(C7:C51)</f>
        <v>262610000</v>
      </c>
      <c r="D52" s="15">
        <f t="shared" ref="D52:H52" si="9">SUM(D7:D51)</f>
        <v>3939150</v>
      </c>
      <c r="E52" s="15">
        <f t="shared" si="9"/>
        <v>1313050</v>
      </c>
      <c r="F52" s="15">
        <f t="shared" si="9"/>
        <v>919135</v>
      </c>
      <c r="G52" s="15">
        <f t="shared" si="9"/>
        <v>393915</v>
      </c>
      <c r="H52" s="15">
        <f t="shared" si="9"/>
        <v>7878300</v>
      </c>
      <c r="I52" s="17"/>
    </row>
    <row r="53" spans="1:10">
      <c r="A53" s="18"/>
      <c r="D53" s="19"/>
      <c r="J53" s="19"/>
    </row>
    <row r="54" spans="1:10">
      <c r="A54" s="18"/>
      <c r="D54" s="19"/>
      <c r="E54" s="86" t="s">
        <v>148</v>
      </c>
      <c r="F54" s="86"/>
      <c r="G54" s="86"/>
      <c r="H54" s="86"/>
    </row>
    <row r="55" spans="1:10">
      <c r="A55" s="18"/>
      <c r="E55" s="86" t="s">
        <v>10</v>
      </c>
      <c r="F55" s="86"/>
      <c r="G55" s="86"/>
      <c r="H55" s="86"/>
    </row>
    <row r="56" spans="1:10">
      <c r="A56" s="18"/>
      <c r="I56" s="20"/>
    </row>
    <row r="57" spans="1:10">
      <c r="A57" s="18"/>
      <c r="I57" s="19"/>
    </row>
    <row r="58" spans="1:10">
      <c r="A58" s="18"/>
    </row>
    <row r="60" spans="1:10">
      <c r="E60" s="87" t="s">
        <v>51</v>
      </c>
      <c r="F60" s="87"/>
      <c r="G60" s="87"/>
      <c r="H60" s="87"/>
    </row>
    <row r="62" spans="1:10">
      <c r="H62" s="19"/>
    </row>
  </sheetData>
  <mergeCells count="9">
    <mergeCell ref="E54:H54"/>
    <mergeCell ref="E55:H55"/>
    <mergeCell ref="E60:H60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1F17-9DEC-4D22-B065-5E31B95163AC}">
  <dimension ref="A1:K62"/>
  <sheetViews>
    <sheetView topLeftCell="A27" workbookViewId="0">
      <selection activeCell="B48" activeCellId="1" sqref="B22 B48:B50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151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 t="s">
        <v>118</v>
      </c>
      <c r="K7" s="74"/>
    </row>
    <row r="8" spans="1:11" ht="18" customHeight="1">
      <c r="A8" s="47">
        <v>2</v>
      </c>
      <c r="B8" s="49" t="s">
        <v>53</v>
      </c>
      <c r="C8" s="5">
        <v>5700000</v>
      </c>
      <c r="D8" s="56">
        <f t="shared" ref="D8:D50" si="0">C8*0.02*0.75</f>
        <v>85500</v>
      </c>
      <c r="E8" s="56">
        <f t="shared" ref="E8:E50" si="1">C8*0.02*0.25</f>
        <v>28500</v>
      </c>
      <c r="F8" s="56">
        <f t="shared" ref="F8:F50" si="2">C8*0.005*0.7</f>
        <v>19950</v>
      </c>
      <c r="G8" s="56">
        <f t="shared" ref="G8:G50" si="3">C8*0.005*0.3</f>
        <v>8550</v>
      </c>
      <c r="H8" s="56">
        <f t="shared" ref="H8:H50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</row>
    <row r="10" spans="1:11" ht="18" customHeight="1">
      <c r="A10" s="4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4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4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4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 t="shared" si="0"/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8" ht="18" customHeight="1">
      <c r="A18" s="4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8" ht="18" customHeight="1">
      <c r="A20" s="4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</row>
    <row r="22" spans="1:8" ht="18" customHeight="1">
      <c r="A22" s="47">
        <v>16</v>
      </c>
      <c r="B22" s="49" t="s">
        <v>145</v>
      </c>
      <c r="C22" s="5">
        <v>5700000</v>
      </c>
      <c r="D22" s="56">
        <f t="shared" si="0"/>
        <v>85500</v>
      </c>
      <c r="E22" s="56">
        <f>C22*0.02*0.25</f>
        <v>28500</v>
      </c>
      <c r="F22" s="56">
        <f t="shared" si="2"/>
        <v>19950</v>
      </c>
      <c r="G22" s="56">
        <f t="shared" si="3"/>
        <v>8550</v>
      </c>
      <c r="H22" s="56">
        <f t="shared" si="4"/>
        <v>171000</v>
      </c>
    </row>
    <row r="23" spans="1:8" ht="18" customHeight="1">
      <c r="A23" s="47">
        <v>17</v>
      </c>
      <c r="B23" s="52" t="s">
        <v>68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8" ht="18" customHeight="1">
      <c r="A24" s="47">
        <v>18</v>
      </c>
      <c r="B24" s="52" t="s">
        <v>117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</row>
    <row r="25" spans="1:8" ht="18" customHeight="1">
      <c r="A25" s="47">
        <v>19</v>
      </c>
      <c r="B25" s="49" t="s">
        <v>62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</row>
    <row r="26" spans="1:8" ht="18" customHeight="1">
      <c r="A26" s="47">
        <v>20</v>
      </c>
      <c r="B26" s="52" t="s">
        <v>8</v>
      </c>
      <c r="C26" s="5">
        <v>5700000</v>
      </c>
      <c r="D26" s="56">
        <f t="shared" si="0"/>
        <v>85500</v>
      </c>
      <c r="E26" s="56">
        <f t="shared" si="1"/>
        <v>28500</v>
      </c>
      <c r="F26" s="56">
        <f t="shared" si="2"/>
        <v>19950</v>
      </c>
      <c r="G26" s="56">
        <f t="shared" si="3"/>
        <v>8550</v>
      </c>
      <c r="H26" s="56">
        <f t="shared" si="4"/>
        <v>171000</v>
      </c>
    </row>
    <row r="27" spans="1:8" ht="18" customHeight="1">
      <c r="A27" s="47">
        <v>21</v>
      </c>
      <c r="B27" s="52" t="s">
        <v>69</v>
      </c>
      <c r="C27" s="5">
        <v>15000000</v>
      </c>
      <c r="D27" s="56">
        <f t="shared" si="0"/>
        <v>225000</v>
      </c>
      <c r="E27" s="56">
        <f t="shared" si="1"/>
        <v>75000</v>
      </c>
      <c r="F27" s="56">
        <f t="shared" si="2"/>
        <v>52500</v>
      </c>
      <c r="G27" s="56">
        <f t="shared" si="3"/>
        <v>22500</v>
      </c>
      <c r="H27" s="56">
        <f t="shared" si="4"/>
        <v>450000</v>
      </c>
    </row>
    <row r="28" spans="1:8" ht="18" customHeight="1">
      <c r="A28" s="47">
        <v>22</v>
      </c>
      <c r="B28" s="52" t="s">
        <v>70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8" ht="18" customHeight="1">
      <c r="A29" s="47">
        <v>23</v>
      </c>
      <c r="B29" s="52" t="s">
        <v>42</v>
      </c>
      <c r="C29" s="5">
        <v>5700000</v>
      </c>
      <c r="D29" s="56">
        <f t="shared" si="0"/>
        <v>85500</v>
      </c>
      <c r="E29" s="56">
        <f t="shared" si="1"/>
        <v>28500</v>
      </c>
      <c r="F29" s="56">
        <f t="shared" si="2"/>
        <v>19950</v>
      </c>
      <c r="G29" s="56">
        <f t="shared" si="3"/>
        <v>8550</v>
      </c>
      <c r="H29" s="56">
        <f t="shared" si="4"/>
        <v>171000</v>
      </c>
    </row>
    <row r="30" spans="1:8" ht="18" customHeight="1">
      <c r="A30" s="47">
        <v>24</v>
      </c>
      <c r="B30" s="53" t="s">
        <v>71</v>
      </c>
      <c r="C30" s="5">
        <v>5310000</v>
      </c>
      <c r="D30" s="56">
        <f t="shared" si="0"/>
        <v>79650</v>
      </c>
      <c r="E30" s="56">
        <f t="shared" si="1"/>
        <v>26550</v>
      </c>
      <c r="F30" s="56">
        <f t="shared" si="2"/>
        <v>18585</v>
      </c>
      <c r="G30" s="56">
        <f t="shared" si="3"/>
        <v>7965</v>
      </c>
      <c r="H30" s="56">
        <f t="shared" si="4"/>
        <v>159300</v>
      </c>
    </row>
    <row r="31" spans="1:8" ht="18" customHeight="1">
      <c r="A31" s="47">
        <v>25</v>
      </c>
      <c r="B31" s="53" t="s">
        <v>72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</row>
    <row r="32" spans="1:8" ht="18" customHeight="1">
      <c r="A32" s="47">
        <v>26</v>
      </c>
      <c r="B32" s="53" t="s">
        <v>73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9" ht="18" customHeight="1">
      <c r="A33" s="47">
        <v>27</v>
      </c>
      <c r="B33" s="53" t="s">
        <v>74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9" ht="18" customHeight="1">
      <c r="A34" s="47">
        <v>28</v>
      </c>
      <c r="B34" s="53" t="s">
        <v>75</v>
      </c>
      <c r="C34" s="5">
        <v>5700000</v>
      </c>
      <c r="D34" s="56">
        <f t="shared" si="0"/>
        <v>85500</v>
      </c>
      <c r="E34" s="56">
        <f t="shared" si="1"/>
        <v>28500</v>
      </c>
      <c r="F34" s="56">
        <f t="shared" si="2"/>
        <v>19950</v>
      </c>
      <c r="G34" s="56">
        <f t="shared" si="3"/>
        <v>8550</v>
      </c>
      <c r="H34" s="56">
        <f t="shared" si="4"/>
        <v>171000</v>
      </c>
    </row>
    <row r="35" spans="1:9" ht="18" customHeight="1">
      <c r="A35" s="47">
        <v>29</v>
      </c>
      <c r="B35" s="53" t="s">
        <v>77</v>
      </c>
      <c r="C35" s="5">
        <v>0</v>
      </c>
      <c r="D35" s="56">
        <f t="shared" si="0"/>
        <v>0</v>
      </c>
      <c r="E35" s="56">
        <f t="shared" si="1"/>
        <v>0</v>
      </c>
      <c r="F35" s="56">
        <f t="shared" si="2"/>
        <v>0</v>
      </c>
      <c r="G35" s="56">
        <f t="shared" si="3"/>
        <v>0</v>
      </c>
      <c r="H35" s="56">
        <f t="shared" si="4"/>
        <v>0</v>
      </c>
      <c r="I35" t="s">
        <v>116</v>
      </c>
    </row>
    <row r="36" spans="1:9" ht="18" customHeight="1">
      <c r="A36" s="47">
        <v>30</v>
      </c>
      <c r="B36" s="53" t="s">
        <v>78</v>
      </c>
      <c r="C36" s="5">
        <v>5700000</v>
      </c>
      <c r="D36" s="56">
        <f t="shared" si="0"/>
        <v>85500</v>
      </c>
      <c r="E36" s="56">
        <f t="shared" si="1"/>
        <v>28500</v>
      </c>
      <c r="F36" s="56">
        <f t="shared" si="2"/>
        <v>19950</v>
      </c>
      <c r="G36" s="56">
        <f t="shared" si="3"/>
        <v>8550</v>
      </c>
      <c r="H36" s="56">
        <f t="shared" si="4"/>
        <v>171000</v>
      </c>
    </row>
    <row r="37" spans="1:9" ht="18" customHeight="1">
      <c r="A37" s="47">
        <v>31</v>
      </c>
      <c r="B37" s="52" t="s">
        <v>97</v>
      </c>
      <c r="C37" s="5">
        <v>20000000</v>
      </c>
      <c r="D37" s="56">
        <f t="shared" si="0"/>
        <v>300000</v>
      </c>
      <c r="E37" s="56">
        <f t="shared" si="1"/>
        <v>100000</v>
      </c>
      <c r="F37" s="56">
        <f t="shared" si="2"/>
        <v>70000</v>
      </c>
      <c r="G37" s="56">
        <f t="shared" si="3"/>
        <v>30000</v>
      </c>
      <c r="H37" s="56">
        <f t="shared" si="4"/>
        <v>600000</v>
      </c>
    </row>
    <row r="38" spans="1:9" ht="18" customHeight="1">
      <c r="A38" s="47">
        <v>32</v>
      </c>
      <c r="B38" s="53" t="s">
        <v>76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9" ht="18" customHeight="1">
      <c r="A39" s="47">
        <v>33</v>
      </c>
      <c r="B39" s="53" t="s">
        <v>106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</row>
    <row r="40" spans="1:9" ht="18" customHeight="1">
      <c r="A40" s="47">
        <v>34</v>
      </c>
      <c r="B40" s="53" t="s">
        <v>81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9" ht="18" customHeight="1">
      <c r="A41" s="47">
        <v>35</v>
      </c>
      <c r="B41" s="53" t="s">
        <v>80</v>
      </c>
      <c r="C41" s="5">
        <v>5700000</v>
      </c>
      <c r="D41" s="56">
        <f t="shared" si="0"/>
        <v>85500</v>
      </c>
      <c r="E41" s="56">
        <f t="shared" si="1"/>
        <v>28500</v>
      </c>
      <c r="F41" s="56">
        <f t="shared" si="2"/>
        <v>19950</v>
      </c>
      <c r="G41" s="56">
        <f t="shared" si="3"/>
        <v>8550</v>
      </c>
      <c r="H41" s="56">
        <f t="shared" si="4"/>
        <v>171000</v>
      </c>
    </row>
    <row r="42" spans="1:9" ht="18" customHeight="1">
      <c r="A42" s="47">
        <v>36</v>
      </c>
      <c r="B42" s="52" t="s">
        <v>82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</row>
    <row r="43" spans="1:9" ht="18" customHeight="1">
      <c r="A43" s="47">
        <v>37</v>
      </c>
      <c r="B43" s="52" t="s">
        <v>83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</row>
    <row r="44" spans="1:9" ht="18" customHeight="1">
      <c r="A44" s="47">
        <v>38</v>
      </c>
      <c r="B44" s="52" t="s">
        <v>84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9" ht="18" customHeight="1">
      <c r="A45" s="47">
        <v>39</v>
      </c>
      <c r="B45" s="52" t="s">
        <v>85</v>
      </c>
      <c r="C45" s="5">
        <v>5700000</v>
      </c>
      <c r="D45" s="56">
        <f t="shared" si="0"/>
        <v>85500</v>
      </c>
      <c r="E45" s="56">
        <f t="shared" si="1"/>
        <v>28500</v>
      </c>
      <c r="F45" s="56">
        <f t="shared" si="2"/>
        <v>19950</v>
      </c>
      <c r="G45" s="56">
        <f t="shared" si="3"/>
        <v>8550</v>
      </c>
      <c r="H45" s="56">
        <f t="shared" si="4"/>
        <v>171000</v>
      </c>
    </row>
    <row r="46" spans="1:9" ht="18" customHeight="1">
      <c r="A46" s="47">
        <v>40</v>
      </c>
      <c r="B46" s="52" t="s">
        <v>86</v>
      </c>
      <c r="C46" s="5">
        <v>5700000</v>
      </c>
      <c r="D46" s="56">
        <f t="shared" ref="D46" si="5">C46*0.02*0.75</f>
        <v>85500</v>
      </c>
      <c r="E46" s="56">
        <f t="shared" ref="E46" si="6">C46*0.02*0.25</f>
        <v>28500</v>
      </c>
      <c r="F46" s="56">
        <f t="shared" ref="F46" si="7">C46*0.005*0.7</f>
        <v>19950</v>
      </c>
      <c r="G46" s="56">
        <f t="shared" ref="G46" si="8">C46*0.005*0.3</f>
        <v>8550</v>
      </c>
      <c r="H46" s="56">
        <f t="shared" ref="H46" si="9">C46*0.03</f>
        <v>171000</v>
      </c>
      <c r="I46" s="8" t="s">
        <v>152</v>
      </c>
    </row>
    <row r="47" spans="1:9" ht="18" customHeight="1">
      <c r="A47" s="47">
        <v>41</v>
      </c>
      <c r="B47" s="52" t="s">
        <v>98</v>
      </c>
      <c r="C47" s="5">
        <v>5700000</v>
      </c>
      <c r="D47" s="56">
        <f t="shared" si="0"/>
        <v>85500</v>
      </c>
      <c r="E47" s="56">
        <f t="shared" si="1"/>
        <v>28500</v>
      </c>
      <c r="F47" s="56">
        <f t="shared" si="2"/>
        <v>19950</v>
      </c>
      <c r="G47" s="56">
        <f t="shared" si="3"/>
        <v>8550</v>
      </c>
      <c r="H47" s="56">
        <f t="shared" si="4"/>
        <v>171000</v>
      </c>
      <c r="I47" s="8"/>
    </row>
    <row r="48" spans="1:9" ht="18" customHeight="1">
      <c r="A48" s="47">
        <v>42</v>
      </c>
      <c r="B48" s="52" t="s">
        <v>126</v>
      </c>
      <c r="C48" s="5">
        <v>5700000</v>
      </c>
      <c r="D48" s="56">
        <f t="shared" si="0"/>
        <v>85500</v>
      </c>
      <c r="E48" s="56">
        <f t="shared" si="1"/>
        <v>28500</v>
      </c>
      <c r="F48" s="56">
        <f t="shared" si="2"/>
        <v>19950</v>
      </c>
      <c r="G48" s="56">
        <f t="shared" si="3"/>
        <v>8550</v>
      </c>
      <c r="H48" s="56">
        <f t="shared" si="4"/>
        <v>171000</v>
      </c>
      <c r="I48" s="8"/>
    </row>
    <row r="49" spans="1:10" ht="18" customHeight="1">
      <c r="A49" s="47">
        <v>43</v>
      </c>
      <c r="B49" s="52" t="s">
        <v>140</v>
      </c>
      <c r="C49" s="5">
        <v>5700000</v>
      </c>
      <c r="D49" s="56">
        <f t="shared" si="0"/>
        <v>85500</v>
      </c>
      <c r="E49" s="56">
        <f t="shared" si="1"/>
        <v>28500</v>
      </c>
      <c r="F49" s="56">
        <f t="shared" si="2"/>
        <v>19950</v>
      </c>
      <c r="G49" s="56">
        <f t="shared" si="3"/>
        <v>8550</v>
      </c>
      <c r="H49" s="56">
        <f t="shared" si="4"/>
        <v>171000</v>
      </c>
      <c r="I49" s="8"/>
    </row>
    <row r="50" spans="1:10" ht="18" customHeight="1">
      <c r="A50" s="47">
        <v>44</v>
      </c>
      <c r="B50" s="52" t="s">
        <v>143</v>
      </c>
      <c r="C50" s="5">
        <v>5700000</v>
      </c>
      <c r="D50" s="56">
        <f t="shared" si="0"/>
        <v>85500</v>
      </c>
      <c r="E50" s="56">
        <f t="shared" si="1"/>
        <v>28500</v>
      </c>
      <c r="F50" s="56">
        <f t="shared" si="2"/>
        <v>19950</v>
      </c>
      <c r="G50" s="56">
        <f t="shared" si="3"/>
        <v>8550</v>
      </c>
      <c r="H50" s="56">
        <f t="shared" si="4"/>
        <v>171000</v>
      </c>
      <c r="I50" s="8"/>
    </row>
    <row r="51" spans="1:10" ht="18" customHeight="1">
      <c r="A51" s="9"/>
      <c r="B51" s="10"/>
      <c r="C51" s="11"/>
      <c r="D51" s="12"/>
      <c r="E51" s="12"/>
      <c r="F51" s="12"/>
      <c r="G51" s="12"/>
      <c r="H51" s="12"/>
    </row>
    <row r="52" spans="1:10" s="40" customFormat="1" ht="17.25">
      <c r="A52" s="13"/>
      <c r="B52" s="14" t="s">
        <v>9</v>
      </c>
      <c r="C52" s="15">
        <f>SUM(C7:C51)</f>
        <v>268310000</v>
      </c>
      <c r="D52" s="15">
        <f t="shared" ref="D52:H52" si="10">SUM(D7:D51)</f>
        <v>4024650</v>
      </c>
      <c r="E52" s="15">
        <f t="shared" si="10"/>
        <v>1341550</v>
      </c>
      <c r="F52" s="15">
        <f t="shared" si="10"/>
        <v>939085</v>
      </c>
      <c r="G52" s="15">
        <f t="shared" si="10"/>
        <v>402465</v>
      </c>
      <c r="H52" s="15">
        <f t="shared" si="10"/>
        <v>8049300</v>
      </c>
      <c r="I52" s="17"/>
    </row>
    <row r="53" spans="1:10" ht="21.75" customHeight="1">
      <c r="A53" s="18"/>
      <c r="D53" s="91">
        <f>+D52+E52</f>
        <v>5366200</v>
      </c>
      <c r="E53" s="91"/>
      <c r="J53" s="19"/>
    </row>
    <row r="54" spans="1:10">
      <c r="A54" s="18"/>
      <c r="D54" s="19"/>
      <c r="E54" s="86" t="s">
        <v>153</v>
      </c>
      <c r="F54" s="86"/>
      <c r="G54" s="86"/>
      <c r="H54" s="86"/>
    </row>
    <row r="55" spans="1:10">
      <c r="A55" s="18"/>
      <c r="E55" s="86" t="s">
        <v>10</v>
      </c>
      <c r="F55" s="86"/>
      <c r="G55" s="86"/>
      <c r="H55" s="86"/>
    </row>
    <row r="56" spans="1:10">
      <c r="A56" s="18"/>
      <c r="I56" s="20"/>
    </row>
    <row r="57" spans="1:10">
      <c r="A57" s="18"/>
      <c r="I57" s="19"/>
    </row>
    <row r="58" spans="1:10">
      <c r="A58" s="18"/>
    </row>
    <row r="60" spans="1:10">
      <c r="E60" s="87" t="s">
        <v>51</v>
      </c>
      <c r="F60" s="87"/>
      <c r="G60" s="87"/>
      <c r="H60" s="87"/>
    </row>
    <row r="62" spans="1:10">
      <c r="H62" s="19"/>
    </row>
  </sheetData>
  <mergeCells count="10">
    <mergeCell ref="E54:H54"/>
    <mergeCell ref="E55:H55"/>
    <mergeCell ref="E60:H60"/>
    <mergeCell ref="D53:E53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61C4-BF84-4606-9580-662BA81D1AA8}">
  <dimension ref="A1:K62"/>
  <sheetViews>
    <sheetView topLeftCell="A31" workbookViewId="0">
      <selection activeCell="E47" sqref="E47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154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/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</f>
        <v>85500</v>
      </c>
      <c r="E7" s="56">
        <f>C7*0.02*0.25</f>
        <v>28500</v>
      </c>
      <c r="F7" s="56">
        <f>C7*0.005*0.7</f>
        <v>19950</v>
      </c>
      <c r="G7" s="56">
        <f>C7*0.005*0.3</f>
        <v>8550</v>
      </c>
      <c r="H7" s="56">
        <f>C7*0.03</f>
        <v>171000</v>
      </c>
      <c r="J7" s="76"/>
      <c r="K7" s="74"/>
    </row>
    <row r="8" spans="1:11" ht="18" customHeight="1">
      <c r="A8" s="47">
        <v>2</v>
      </c>
      <c r="B8" s="49" t="s">
        <v>53</v>
      </c>
      <c r="C8" s="5">
        <v>5700000</v>
      </c>
      <c r="D8" s="56">
        <f t="shared" ref="D8:D50" si="0">C8*0.02*0.75</f>
        <v>85500</v>
      </c>
      <c r="E8" s="56">
        <f t="shared" ref="E8:E50" si="1">C8*0.02*0.25</f>
        <v>28500</v>
      </c>
      <c r="F8" s="56">
        <f t="shared" ref="F8:F50" si="2">C8*0.005*0.7</f>
        <v>19950</v>
      </c>
      <c r="G8" s="56">
        <f t="shared" ref="G8:G50" si="3">C8*0.005*0.3</f>
        <v>8550</v>
      </c>
      <c r="H8" s="56">
        <f t="shared" ref="H8:H50" si="4">C8*0.03</f>
        <v>171000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85500</v>
      </c>
      <c r="E9" s="56">
        <f t="shared" si="1"/>
        <v>28500</v>
      </c>
      <c r="F9" s="56">
        <f t="shared" si="2"/>
        <v>19950</v>
      </c>
      <c r="G9" s="56">
        <f t="shared" si="3"/>
        <v>8550</v>
      </c>
      <c r="H9" s="56">
        <f t="shared" si="4"/>
        <v>171000</v>
      </c>
    </row>
    <row r="10" spans="1:11" ht="18" customHeight="1">
      <c r="A10" s="47">
        <v>4</v>
      </c>
      <c r="B10" s="50" t="s">
        <v>55</v>
      </c>
      <c r="C10" s="5">
        <v>5700000</v>
      </c>
      <c r="D10" s="56">
        <f t="shared" si="0"/>
        <v>85500</v>
      </c>
      <c r="E10" s="56">
        <f t="shared" si="1"/>
        <v>28500</v>
      </c>
      <c r="F10" s="56">
        <f t="shared" si="2"/>
        <v>19950</v>
      </c>
      <c r="G10" s="56">
        <f t="shared" si="3"/>
        <v>8550</v>
      </c>
      <c r="H10" s="56">
        <f t="shared" si="4"/>
        <v>171000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85500</v>
      </c>
      <c r="E11" s="56">
        <f t="shared" si="1"/>
        <v>28500</v>
      </c>
      <c r="F11" s="56">
        <f t="shared" si="2"/>
        <v>19950</v>
      </c>
      <c r="G11" s="56">
        <f t="shared" si="3"/>
        <v>8550</v>
      </c>
      <c r="H11" s="56">
        <f t="shared" si="4"/>
        <v>171000</v>
      </c>
    </row>
    <row r="12" spans="1:11" ht="18" customHeight="1">
      <c r="A12" s="47">
        <v>6</v>
      </c>
      <c r="B12" s="49" t="s">
        <v>57</v>
      </c>
      <c r="C12" s="5">
        <v>5700000</v>
      </c>
      <c r="D12" s="56">
        <f t="shared" si="0"/>
        <v>85500</v>
      </c>
      <c r="E12" s="56">
        <f t="shared" si="1"/>
        <v>28500</v>
      </c>
      <c r="F12" s="56">
        <f t="shared" si="2"/>
        <v>19950</v>
      </c>
      <c r="G12" s="56">
        <f t="shared" si="3"/>
        <v>8550</v>
      </c>
      <c r="H12" s="56">
        <f t="shared" si="4"/>
        <v>171000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85500</v>
      </c>
      <c r="E13" s="56">
        <f t="shared" si="1"/>
        <v>28500</v>
      </c>
      <c r="F13" s="56">
        <f t="shared" si="2"/>
        <v>19950</v>
      </c>
      <c r="G13" s="56">
        <f t="shared" si="3"/>
        <v>8550</v>
      </c>
      <c r="H13" s="56">
        <f t="shared" si="4"/>
        <v>171000</v>
      </c>
    </row>
    <row r="14" spans="1:11" ht="18" customHeight="1">
      <c r="A14" s="47">
        <v>8</v>
      </c>
      <c r="B14" s="49" t="s">
        <v>59</v>
      </c>
      <c r="C14" s="5">
        <v>5700000</v>
      </c>
      <c r="D14" s="56">
        <f t="shared" si="0"/>
        <v>85500</v>
      </c>
      <c r="E14" s="56">
        <f t="shared" si="1"/>
        <v>28500</v>
      </c>
      <c r="F14" s="56">
        <f t="shared" si="2"/>
        <v>19950</v>
      </c>
      <c r="G14" s="56">
        <f t="shared" si="3"/>
        <v>8550</v>
      </c>
      <c r="H14" s="56">
        <f t="shared" si="4"/>
        <v>171000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85500</v>
      </c>
      <c r="E15" s="56">
        <f t="shared" si="1"/>
        <v>28500</v>
      </c>
      <c r="F15" s="56">
        <f t="shared" si="2"/>
        <v>19950</v>
      </c>
      <c r="G15" s="56">
        <f t="shared" si="3"/>
        <v>8550</v>
      </c>
      <c r="H15" s="56">
        <f t="shared" si="4"/>
        <v>171000</v>
      </c>
    </row>
    <row r="16" spans="1:11" ht="18" customHeight="1">
      <c r="A16" s="47">
        <v>10</v>
      </c>
      <c r="B16" s="49" t="s">
        <v>61</v>
      </c>
      <c r="C16" s="5">
        <v>5700000</v>
      </c>
      <c r="D16" s="56">
        <f t="shared" si="0"/>
        <v>85500</v>
      </c>
      <c r="E16" s="56">
        <f t="shared" si="1"/>
        <v>28500</v>
      </c>
      <c r="F16" s="56">
        <f t="shared" si="2"/>
        <v>19950</v>
      </c>
      <c r="G16" s="56">
        <f t="shared" si="3"/>
        <v>8550</v>
      </c>
      <c r="H16" s="56">
        <f t="shared" si="4"/>
        <v>171000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 t="shared" si="0"/>
        <v>85500</v>
      </c>
      <c r="E17" s="56">
        <f>C17*0.02*0.25</f>
        <v>28500</v>
      </c>
      <c r="F17" s="56">
        <f t="shared" si="2"/>
        <v>19950</v>
      </c>
      <c r="G17" s="56">
        <f t="shared" si="3"/>
        <v>8550</v>
      </c>
      <c r="H17" s="56">
        <f t="shared" si="4"/>
        <v>171000</v>
      </c>
    </row>
    <row r="18" spans="1:8" ht="18" customHeight="1">
      <c r="A18" s="47">
        <v>12</v>
      </c>
      <c r="B18" s="49" t="s">
        <v>63</v>
      </c>
      <c r="C18" s="5">
        <v>5700000</v>
      </c>
      <c r="D18" s="56">
        <f t="shared" si="0"/>
        <v>85500</v>
      </c>
      <c r="E18" s="56">
        <f t="shared" si="1"/>
        <v>28500</v>
      </c>
      <c r="F18" s="56">
        <f t="shared" si="2"/>
        <v>19950</v>
      </c>
      <c r="G18" s="56">
        <f t="shared" si="3"/>
        <v>8550</v>
      </c>
      <c r="H18" s="56">
        <f t="shared" si="4"/>
        <v>171000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85500</v>
      </c>
      <c r="E19" s="56">
        <f t="shared" si="1"/>
        <v>28500</v>
      </c>
      <c r="F19" s="56">
        <f t="shared" si="2"/>
        <v>19950</v>
      </c>
      <c r="G19" s="56">
        <f t="shared" si="3"/>
        <v>8550</v>
      </c>
      <c r="H19" s="56">
        <f t="shared" si="4"/>
        <v>171000</v>
      </c>
    </row>
    <row r="20" spans="1:8" ht="18" customHeight="1">
      <c r="A20" s="47">
        <v>14</v>
      </c>
      <c r="B20" s="50" t="s">
        <v>66</v>
      </c>
      <c r="C20" s="5">
        <v>5700000</v>
      </c>
      <c r="D20" s="56">
        <f t="shared" si="0"/>
        <v>85500</v>
      </c>
      <c r="E20" s="56">
        <f t="shared" si="1"/>
        <v>28500</v>
      </c>
      <c r="F20" s="56">
        <f t="shared" si="2"/>
        <v>19950</v>
      </c>
      <c r="G20" s="56">
        <f t="shared" si="3"/>
        <v>8550</v>
      </c>
      <c r="H20" s="56">
        <f t="shared" si="4"/>
        <v>171000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85500</v>
      </c>
      <c r="E21" s="56">
        <f t="shared" si="1"/>
        <v>28500</v>
      </c>
      <c r="F21" s="56">
        <f t="shared" si="2"/>
        <v>19950</v>
      </c>
      <c r="G21" s="56">
        <f t="shared" si="3"/>
        <v>8550</v>
      </c>
      <c r="H21" s="56">
        <f t="shared" si="4"/>
        <v>171000</v>
      </c>
    </row>
    <row r="22" spans="1:8" ht="18" customHeight="1">
      <c r="A22" s="47">
        <v>16</v>
      </c>
      <c r="B22" s="49" t="s">
        <v>145</v>
      </c>
      <c r="C22" s="5">
        <v>5700000</v>
      </c>
      <c r="D22" s="56">
        <f t="shared" si="0"/>
        <v>85500</v>
      </c>
      <c r="E22" s="56">
        <f>C22*0.02*0.25</f>
        <v>28500</v>
      </c>
      <c r="F22" s="56">
        <f t="shared" si="2"/>
        <v>19950</v>
      </c>
      <c r="G22" s="56">
        <f t="shared" si="3"/>
        <v>8550</v>
      </c>
      <c r="H22" s="56">
        <f t="shared" si="4"/>
        <v>171000</v>
      </c>
    </row>
    <row r="23" spans="1:8" ht="18" customHeight="1">
      <c r="A23" s="47">
        <v>17</v>
      </c>
      <c r="B23" s="52" t="s">
        <v>68</v>
      </c>
      <c r="C23" s="5">
        <v>5700000</v>
      </c>
      <c r="D23" s="56">
        <f t="shared" si="0"/>
        <v>85500</v>
      </c>
      <c r="E23" s="56">
        <f t="shared" si="1"/>
        <v>28500</v>
      </c>
      <c r="F23" s="56">
        <f t="shared" si="2"/>
        <v>19950</v>
      </c>
      <c r="G23" s="56">
        <f t="shared" si="3"/>
        <v>8550</v>
      </c>
      <c r="H23" s="56">
        <f t="shared" si="4"/>
        <v>171000</v>
      </c>
    </row>
    <row r="24" spans="1:8" ht="18" customHeight="1">
      <c r="A24" s="47">
        <v>18</v>
      </c>
      <c r="B24" s="52" t="s">
        <v>117</v>
      </c>
      <c r="C24" s="5">
        <v>5700000</v>
      </c>
      <c r="D24" s="56">
        <f t="shared" si="0"/>
        <v>85500</v>
      </c>
      <c r="E24" s="56">
        <f t="shared" si="1"/>
        <v>28500</v>
      </c>
      <c r="F24" s="56">
        <f t="shared" si="2"/>
        <v>19950</v>
      </c>
      <c r="G24" s="56">
        <f t="shared" si="3"/>
        <v>8550</v>
      </c>
      <c r="H24" s="56">
        <f t="shared" si="4"/>
        <v>171000</v>
      </c>
    </row>
    <row r="25" spans="1:8" ht="18" customHeight="1">
      <c r="A25" s="47">
        <v>19</v>
      </c>
      <c r="B25" s="49" t="s">
        <v>62</v>
      </c>
      <c r="C25" s="5">
        <v>5700000</v>
      </c>
      <c r="D25" s="56">
        <f t="shared" si="0"/>
        <v>85500</v>
      </c>
      <c r="E25" s="56">
        <f t="shared" si="1"/>
        <v>28500</v>
      </c>
      <c r="F25" s="56">
        <f t="shared" si="2"/>
        <v>19950</v>
      </c>
      <c r="G25" s="56">
        <f t="shared" si="3"/>
        <v>8550</v>
      </c>
      <c r="H25" s="56">
        <f t="shared" si="4"/>
        <v>171000</v>
      </c>
    </row>
    <row r="26" spans="1:8" ht="18" customHeight="1">
      <c r="A26" s="47">
        <v>20</v>
      </c>
      <c r="B26" s="52" t="s">
        <v>8</v>
      </c>
      <c r="C26" s="5">
        <v>5700000</v>
      </c>
      <c r="D26" s="56">
        <f t="shared" si="0"/>
        <v>85500</v>
      </c>
      <c r="E26" s="56">
        <f t="shared" si="1"/>
        <v>28500</v>
      </c>
      <c r="F26" s="56">
        <f t="shared" si="2"/>
        <v>19950</v>
      </c>
      <c r="G26" s="56">
        <f t="shared" si="3"/>
        <v>8550</v>
      </c>
      <c r="H26" s="56">
        <f t="shared" si="4"/>
        <v>171000</v>
      </c>
    </row>
    <row r="27" spans="1:8" ht="18" customHeight="1">
      <c r="A27" s="47">
        <v>21</v>
      </c>
      <c r="B27" s="52" t="s">
        <v>69</v>
      </c>
      <c r="C27" s="5">
        <v>15000000</v>
      </c>
      <c r="D27" s="56">
        <f t="shared" si="0"/>
        <v>225000</v>
      </c>
      <c r="E27" s="56">
        <f t="shared" si="1"/>
        <v>75000</v>
      </c>
      <c r="F27" s="56">
        <f t="shared" si="2"/>
        <v>52500</v>
      </c>
      <c r="G27" s="56">
        <f t="shared" si="3"/>
        <v>22500</v>
      </c>
      <c r="H27" s="56">
        <f t="shared" si="4"/>
        <v>450000</v>
      </c>
    </row>
    <row r="28" spans="1:8" ht="18" customHeight="1">
      <c r="A28" s="47">
        <v>22</v>
      </c>
      <c r="B28" s="52" t="s">
        <v>70</v>
      </c>
      <c r="C28" s="5">
        <v>5700000</v>
      </c>
      <c r="D28" s="56">
        <f t="shared" si="0"/>
        <v>85500</v>
      </c>
      <c r="E28" s="56">
        <f t="shared" si="1"/>
        <v>28500</v>
      </c>
      <c r="F28" s="56">
        <f t="shared" si="2"/>
        <v>19950</v>
      </c>
      <c r="G28" s="56">
        <f t="shared" si="3"/>
        <v>8550</v>
      </c>
      <c r="H28" s="56">
        <f t="shared" si="4"/>
        <v>171000</v>
      </c>
    </row>
    <row r="29" spans="1:8" ht="18" customHeight="1">
      <c r="A29" s="47">
        <v>23</v>
      </c>
      <c r="B29" s="52" t="s">
        <v>42</v>
      </c>
      <c r="C29" s="5">
        <v>5700000</v>
      </c>
      <c r="D29" s="56">
        <f t="shared" si="0"/>
        <v>85500</v>
      </c>
      <c r="E29" s="56">
        <f t="shared" si="1"/>
        <v>28500</v>
      </c>
      <c r="F29" s="56">
        <f t="shared" si="2"/>
        <v>19950</v>
      </c>
      <c r="G29" s="56">
        <f t="shared" si="3"/>
        <v>8550</v>
      </c>
      <c r="H29" s="56">
        <f t="shared" si="4"/>
        <v>171000</v>
      </c>
    </row>
    <row r="30" spans="1:8" ht="18" customHeight="1">
      <c r="A30" s="47">
        <v>24</v>
      </c>
      <c r="B30" s="53" t="s">
        <v>71</v>
      </c>
      <c r="C30" s="5">
        <v>5310000</v>
      </c>
      <c r="D30" s="56">
        <f t="shared" si="0"/>
        <v>79650</v>
      </c>
      <c r="E30" s="56">
        <f t="shared" si="1"/>
        <v>26550</v>
      </c>
      <c r="F30" s="56">
        <f t="shared" si="2"/>
        <v>18585</v>
      </c>
      <c r="G30" s="56">
        <f t="shared" si="3"/>
        <v>7965</v>
      </c>
      <c r="H30" s="56">
        <f t="shared" si="4"/>
        <v>159300</v>
      </c>
    </row>
    <row r="31" spans="1:8" ht="18" customHeight="1">
      <c r="A31" s="47">
        <v>25</v>
      </c>
      <c r="B31" s="53" t="s">
        <v>72</v>
      </c>
      <c r="C31" s="5">
        <v>5700000</v>
      </c>
      <c r="D31" s="56">
        <f t="shared" si="0"/>
        <v>85500</v>
      </c>
      <c r="E31" s="56">
        <f t="shared" si="1"/>
        <v>28500</v>
      </c>
      <c r="F31" s="56">
        <f t="shared" si="2"/>
        <v>19950</v>
      </c>
      <c r="G31" s="56">
        <f t="shared" si="3"/>
        <v>8550</v>
      </c>
      <c r="H31" s="56">
        <f t="shared" si="4"/>
        <v>171000</v>
      </c>
    </row>
    <row r="32" spans="1:8" ht="18" customHeight="1">
      <c r="A32" s="47">
        <v>26</v>
      </c>
      <c r="B32" s="53" t="s">
        <v>73</v>
      </c>
      <c r="C32" s="5">
        <v>5700000</v>
      </c>
      <c r="D32" s="56">
        <f t="shared" si="0"/>
        <v>85500</v>
      </c>
      <c r="E32" s="56">
        <f t="shared" si="1"/>
        <v>28500</v>
      </c>
      <c r="F32" s="56">
        <f t="shared" si="2"/>
        <v>19950</v>
      </c>
      <c r="G32" s="56">
        <f t="shared" si="3"/>
        <v>8550</v>
      </c>
      <c r="H32" s="56">
        <f t="shared" si="4"/>
        <v>171000</v>
      </c>
    </row>
    <row r="33" spans="1:9" ht="18" customHeight="1">
      <c r="A33" s="47">
        <v>27</v>
      </c>
      <c r="B33" s="53" t="s">
        <v>74</v>
      </c>
      <c r="C33" s="5">
        <v>5700000</v>
      </c>
      <c r="D33" s="56">
        <f t="shared" si="0"/>
        <v>85500</v>
      </c>
      <c r="E33" s="56">
        <f t="shared" si="1"/>
        <v>28500</v>
      </c>
      <c r="F33" s="56">
        <f t="shared" si="2"/>
        <v>19950</v>
      </c>
      <c r="G33" s="56">
        <f t="shared" si="3"/>
        <v>8550</v>
      </c>
      <c r="H33" s="56">
        <f t="shared" si="4"/>
        <v>171000</v>
      </c>
    </row>
    <row r="34" spans="1:9" ht="18" customHeight="1">
      <c r="A34" s="47">
        <v>28</v>
      </c>
      <c r="B34" s="53" t="s">
        <v>75</v>
      </c>
      <c r="C34" s="5">
        <v>5700000</v>
      </c>
      <c r="D34" s="56">
        <f t="shared" si="0"/>
        <v>85500</v>
      </c>
      <c r="E34" s="56">
        <f t="shared" si="1"/>
        <v>28500</v>
      </c>
      <c r="F34" s="56">
        <f t="shared" si="2"/>
        <v>19950</v>
      </c>
      <c r="G34" s="56">
        <f t="shared" si="3"/>
        <v>8550</v>
      </c>
      <c r="H34" s="56">
        <f t="shared" si="4"/>
        <v>171000</v>
      </c>
    </row>
    <row r="35" spans="1:9" ht="18" customHeight="1">
      <c r="A35" s="47">
        <v>29</v>
      </c>
      <c r="B35" s="53" t="s">
        <v>77</v>
      </c>
      <c r="C35" s="5">
        <v>0</v>
      </c>
      <c r="D35" s="56">
        <f t="shared" si="0"/>
        <v>0</v>
      </c>
      <c r="E35" s="56">
        <f t="shared" si="1"/>
        <v>0</v>
      </c>
      <c r="F35" s="56">
        <f t="shared" si="2"/>
        <v>0</v>
      </c>
      <c r="G35" s="56">
        <f t="shared" si="3"/>
        <v>0</v>
      </c>
      <c r="H35" s="56">
        <f t="shared" si="4"/>
        <v>0</v>
      </c>
      <c r="I35" t="s">
        <v>116</v>
      </c>
    </row>
    <row r="36" spans="1:9" ht="18" customHeight="1">
      <c r="A36" s="47">
        <v>30</v>
      </c>
      <c r="B36" s="53" t="s">
        <v>78</v>
      </c>
      <c r="C36" s="5">
        <v>5700000</v>
      </c>
      <c r="D36" s="56">
        <f t="shared" si="0"/>
        <v>85500</v>
      </c>
      <c r="E36" s="56">
        <f t="shared" si="1"/>
        <v>28500</v>
      </c>
      <c r="F36" s="56">
        <f t="shared" si="2"/>
        <v>19950</v>
      </c>
      <c r="G36" s="56">
        <f t="shared" si="3"/>
        <v>8550</v>
      </c>
      <c r="H36" s="56">
        <f t="shared" si="4"/>
        <v>171000</v>
      </c>
    </row>
    <row r="37" spans="1:9" ht="18" customHeight="1">
      <c r="A37" s="47">
        <v>31</v>
      </c>
      <c r="B37" s="52" t="s">
        <v>97</v>
      </c>
      <c r="C37" s="5">
        <v>20000000</v>
      </c>
      <c r="D37" s="56">
        <f t="shared" si="0"/>
        <v>300000</v>
      </c>
      <c r="E37" s="56">
        <f t="shared" si="1"/>
        <v>100000</v>
      </c>
      <c r="F37" s="56">
        <f t="shared" si="2"/>
        <v>70000</v>
      </c>
      <c r="G37" s="56">
        <f t="shared" si="3"/>
        <v>30000</v>
      </c>
      <c r="H37" s="56">
        <f t="shared" si="4"/>
        <v>600000</v>
      </c>
    </row>
    <row r="38" spans="1:9" ht="18" customHeight="1">
      <c r="A38" s="47">
        <v>32</v>
      </c>
      <c r="B38" s="53" t="s">
        <v>76</v>
      </c>
      <c r="C38" s="5">
        <v>5700000</v>
      </c>
      <c r="D38" s="56">
        <f t="shared" si="0"/>
        <v>85500</v>
      </c>
      <c r="E38" s="56">
        <f t="shared" si="1"/>
        <v>28500</v>
      </c>
      <c r="F38" s="56">
        <f t="shared" si="2"/>
        <v>19950</v>
      </c>
      <c r="G38" s="56">
        <f t="shared" si="3"/>
        <v>8550</v>
      </c>
      <c r="H38" s="56">
        <f t="shared" si="4"/>
        <v>171000</v>
      </c>
    </row>
    <row r="39" spans="1:9" ht="18" customHeight="1">
      <c r="A39" s="47">
        <v>33</v>
      </c>
      <c r="B39" s="53" t="s">
        <v>106</v>
      </c>
      <c r="C39" s="5">
        <v>5700000</v>
      </c>
      <c r="D39" s="56">
        <f t="shared" si="0"/>
        <v>85500</v>
      </c>
      <c r="E39" s="56">
        <f t="shared" si="1"/>
        <v>28500</v>
      </c>
      <c r="F39" s="56">
        <f t="shared" si="2"/>
        <v>19950</v>
      </c>
      <c r="G39" s="56">
        <f t="shared" si="3"/>
        <v>8550</v>
      </c>
      <c r="H39" s="56">
        <f t="shared" si="4"/>
        <v>171000</v>
      </c>
    </row>
    <row r="40" spans="1:9" ht="18" customHeight="1">
      <c r="A40" s="47">
        <v>34</v>
      </c>
      <c r="B40" s="53" t="s">
        <v>81</v>
      </c>
      <c r="C40" s="5">
        <v>5700000</v>
      </c>
      <c r="D40" s="56">
        <f t="shared" si="0"/>
        <v>85500</v>
      </c>
      <c r="E40" s="56">
        <f t="shared" si="1"/>
        <v>28500</v>
      </c>
      <c r="F40" s="56">
        <f t="shared" si="2"/>
        <v>19950</v>
      </c>
      <c r="G40" s="56">
        <f t="shared" si="3"/>
        <v>8550</v>
      </c>
      <c r="H40" s="56">
        <f t="shared" si="4"/>
        <v>171000</v>
      </c>
    </row>
    <row r="41" spans="1:9" ht="18" customHeight="1">
      <c r="A41" s="47">
        <v>35</v>
      </c>
      <c r="B41" s="53" t="s">
        <v>80</v>
      </c>
      <c r="C41" s="5">
        <v>0</v>
      </c>
      <c r="D41" s="56">
        <f t="shared" si="0"/>
        <v>0</v>
      </c>
      <c r="E41" s="56">
        <f t="shared" si="1"/>
        <v>0</v>
      </c>
      <c r="F41" s="56">
        <f t="shared" si="2"/>
        <v>0</v>
      </c>
      <c r="G41" s="56">
        <f t="shared" si="3"/>
        <v>0</v>
      </c>
      <c r="H41" s="56">
        <f t="shared" si="4"/>
        <v>0</v>
      </c>
      <c r="I41" s="8" t="s">
        <v>160</v>
      </c>
    </row>
    <row r="42" spans="1:9" ht="18" customHeight="1">
      <c r="A42" s="47">
        <v>36</v>
      </c>
      <c r="B42" s="52" t="s">
        <v>82</v>
      </c>
      <c r="C42" s="5">
        <v>5700000</v>
      </c>
      <c r="D42" s="56">
        <f t="shared" si="0"/>
        <v>85500</v>
      </c>
      <c r="E42" s="56">
        <f t="shared" si="1"/>
        <v>28500</v>
      </c>
      <c r="F42" s="56">
        <f t="shared" si="2"/>
        <v>19950</v>
      </c>
      <c r="G42" s="56">
        <f t="shared" si="3"/>
        <v>8550</v>
      </c>
      <c r="H42" s="56">
        <f t="shared" si="4"/>
        <v>171000</v>
      </c>
    </row>
    <row r="43" spans="1:9" ht="18" customHeight="1">
      <c r="A43" s="47">
        <v>37</v>
      </c>
      <c r="B43" s="52" t="s">
        <v>83</v>
      </c>
      <c r="C43" s="5">
        <v>5700000</v>
      </c>
      <c r="D43" s="56">
        <f t="shared" si="0"/>
        <v>85500</v>
      </c>
      <c r="E43" s="56">
        <f t="shared" si="1"/>
        <v>28500</v>
      </c>
      <c r="F43" s="56">
        <f t="shared" si="2"/>
        <v>19950</v>
      </c>
      <c r="G43" s="56">
        <f t="shared" si="3"/>
        <v>8550</v>
      </c>
      <c r="H43" s="56">
        <f t="shared" si="4"/>
        <v>171000</v>
      </c>
    </row>
    <row r="44" spans="1:9" ht="18" customHeight="1">
      <c r="A44" s="47">
        <v>38</v>
      </c>
      <c r="B44" s="52" t="s">
        <v>84</v>
      </c>
      <c r="C44" s="5">
        <v>5700000</v>
      </c>
      <c r="D44" s="56">
        <f t="shared" si="0"/>
        <v>85500</v>
      </c>
      <c r="E44" s="56">
        <f t="shared" si="1"/>
        <v>28500</v>
      </c>
      <c r="F44" s="56">
        <f t="shared" si="2"/>
        <v>19950</v>
      </c>
      <c r="G44" s="56">
        <f t="shared" si="3"/>
        <v>8550</v>
      </c>
      <c r="H44" s="56">
        <f t="shared" si="4"/>
        <v>171000</v>
      </c>
    </row>
    <row r="45" spans="1:9" ht="18" customHeight="1">
      <c r="A45" s="47">
        <v>39</v>
      </c>
      <c r="B45" s="52" t="s">
        <v>85</v>
      </c>
      <c r="C45" s="5">
        <v>5700000</v>
      </c>
      <c r="D45" s="56">
        <f t="shared" si="0"/>
        <v>85500</v>
      </c>
      <c r="E45" s="56">
        <f t="shared" si="1"/>
        <v>28500</v>
      </c>
      <c r="F45" s="56">
        <f t="shared" si="2"/>
        <v>19950</v>
      </c>
      <c r="G45" s="56">
        <f t="shared" si="3"/>
        <v>8550</v>
      </c>
      <c r="H45" s="56">
        <f t="shared" si="4"/>
        <v>171000</v>
      </c>
    </row>
    <row r="46" spans="1:9" ht="18" customHeight="1">
      <c r="A46" s="47">
        <v>40</v>
      </c>
      <c r="B46" s="52" t="s">
        <v>86</v>
      </c>
      <c r="C46" s="5">
        <v>5700000</v>
      </c>
      <c r="D46" s="56">
        <f t="shared" si="0"/>
        <v>85500</v>
      </c>
      <c r="E46" s="56">
        <f t="shared" si="1"/>
        <v>28500</v>
      </c>
      <c r="F46" s="56">
        <f t="shared" si="2"/>
        <v>19950</v>
      </c>
      <c r="G46" s="56">
        <f t="shared" si="3"/>
        <v>8550</v>
      </c>
      <c r="H46" s="56">
        <f t="shared" si="4"/>
        <v>171000</v>
      </c>
      <c r="I46" s="8"/>
    </row>
    <row r="47" spans="1:9" ht="18" customHeight="1">
      <c r="A47" s="47">
        <v>41</v>
      </c>
      <c r="B47" s="52" t="s">
        <v>98</v>
      </c>
      <c r="C47" s="5">
        <v>5700000</v>
      </c>
      <c r="D47" s="56">
        <f t="shared" si="0"/>
        <v>85500</v>
      </c>
      <c r="E47" s="56">
        <f t="shared" si="1"/>
        <v>28500</v>
      </c>
      <c r="F47" s="56">
        <f t="shared" si="2"/>
        <v>19950</v>
      </c>
      <c r="G47" s="56">
        <f t="shared" si="3"/>
        <v>8550</v>
      </c>
      <c r="H47" s="56">
        <f t="shared" si="4"/>
        <v>171000</v>
      </c>
      <c r="I47" s="8"/>
    </row>
    <row r="48" spans="1:9" ht="18" customHeight="1">
      <c r="A48" s="47">
        <v>42</v>
      </c>
      <c r="B48" s="52" t="s">
        <v>126</v>
      </c>
      <c r="C48" s="5">
        <v>5700000</v>
      </c>
      <c r="D48" s="56">
        <f t="shared" si="0"/>
        <v>85500</v>
      </c>
      <c r="E48" s="56">
        <f t="shared" si="1"/>
        <v>28500</v>
      </c>
      <c r="F48" s="56">
        <f t="shared" si="2"/>
        <v>19950</v>
      </c>
      <c r="G48" s="56">
        <f t="shared" si="3"/>
        <v>8550</v>
      </c>
      <c r="H48" s="56">
        <f t="shared" si="4"/>
        <v>171000</v>
      </c>
      <c r="I48" s="8"/>
    </row>
    <row r="49" spans="1:10" ht="18" customHeight="1">
      <c r="A49" s="47">
        <v>43</v>
      </c>
      <c r="B49" s="52" t="s">
        <v>140</v>
      </c>
      <c r="C49" s="5">
        <v>5700000</v>
      </c>
      <c r="D49" s="56">
        <f t="shared" si="0"/>
        <v>85500</v>
      </c>
      <c r="E49" s="56">
        <f t="shared" si="1"/>
        <v>28500</v>
      </c>
      <c r="F49" s="56">
        <f t="shared" si="2"/>
        <v>19950</v>
      </c>
      <c r="G49" s="56">
        <f t="shared" si="3"/>
        <v>8550</v>
      </c>
      <c r="H49" s="56">
        <f t="shared" si="4"/>
        <v>171000</v>
      </c>
      <c r="I49" s="8"/>
    </row>
    <row r="50" spans="1:10" ht="18" customHeight="1">
      <c r="A50" s="47">
        <v>44</v>
      </c>
      <c r="B50" s="52" t="s">
        <v>143</v>
      </c>
      <c r="C50" s="5">
        <v>5700000</v>
      </c>
      <c r="D50" s="56">
        <f t="shared" si="0"/>
        <v>85500</v>
      </c>
      <c r="E50" s="56">
        <f t="shared" si="1"/>
        <v>28500</v>
      </c>
      <c r="F50" s="56">
        <f t="shared" si="2"/>
        <v>19950</v>
      </c>
      <c r="G50" s="56">
        <f t="shared" si="3"/>
        <v>8550</v>
      </c>
      <c r="H50" s="56">
        <f t="shared" si="4"/>
        <v>171000</v>
      </c>
      <c r="I50" s="8"/>
    </row>
    <row r="51" spans="1:10" ht="18" customHeight="1">
      <c r="A51" s="9"/>
      <c r="B51" s="10"/>
      <c r="C51" s="11"/>
      <c r="D51" s="12"/>
      <c r="E51" s="12"/>
      <c r="F51" s="12"/>
      <c r="G51" s="12"/>
      <c r="H51" s="12"/>
    </row>
    <row r="52" spans="1:10" s="40" customFormat="1" ht="17.25">
      <c r="A52" s="13"/>
      <c r="B52" s="14" t="s">
        <v>9</v>
      </c>
      <c r="C52" s="15">
        <f>SUM(C7:C51)</f>
        <v>262610000</v>
      </c>
      <c r="D52" s="15">
        <f t="shared" ref="D52:H52" si="5">SUM(D7:D51)</f>
        <v>3939150</v>
      </c>
      <c r="E52" s="15">
        <f t="shared" si="5"/>
        <v>1313050</v>
      </c>
      <c r="F52" s="15">
        <f t="shared" si="5"/>
        <v>919135</v>
      </c>
      <c r="G52" s="15">
        <f t="shared" si="5"/>
        <v>393915</v>
      </c>
      <c r="H52" s="15">
        <f t="shared" si="5"/>
        <v>7878300</v>
      </c>
      <c r="I52" s="17"/>
    </row>
    <row r="53" spans="1:10" ht="21.75" customHeight="1">
      <c r="A53" s="18"/>
      <c r="D53" s="91">
        <f>+D52+E52</f>
        <v>5252200</v>
      </c>
      <c r="E53" s="91"/>
      <c r="J53" s="19"/>
    </row>
    <row r="54" spans="1:10">
      <c r="A54" s="18"/>
      <c r="D54" s="19"/>
      <c r="E54" s="86" t="s">
        <v>155</v>
      </c>
      <c r="F54" s="86"/>
      <c r="G54" s="86"/>
      <c r="H54" s="86"/>
    </row>
    <row r="55" spans="1:10">
      <c r="A55" s="18"/>
      <c r="E55" s="86" t="s">
        <v>10</v>
      </c>
      <c r="F55" s="86"/>
      <c r="G55" s="86"/>
      <c r="H55" s="86"/>
    </row>
    <row r="56" spans="1:10">
      <c r="A56" s="18"/>
      <c r="I56" s="20"/>
    </row>
    <row r="57" spans="1:10">
      <c r="A57" s="18"/>
      <c r="I57" s="19"/>
    </row>
    <row r="58" spans="1:10">
      <c r="A58" s="18"/>
    </row>
    <row r="60" spans="1:10">
      <c r="E60" s="87" t="s">
        <v>51</v>
      </c>
      <c r="F60" s="87"/>
      <c r="G60" s="87"/>
      <c r="H60" s="87"/>
    </row>
    <row r="62" spans="1:10">
      <c r="H62" s="19"/>
    </row>
  </sheetData>
  <mergeCells count="10">
    <mergeCell ref="D53:E53"/>
    <mergeCell ref="E54:H54"/>
    <mergeCell ref="E55:H55"/>
    <mergeCell ref="E60:H60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9914-1422-4AAF-810F-B62E8B2C98EB}">
  <dimension ref="A1:K61"/>
  <sheetViews>
    <sheetView topLeftCell="A34" workbookViewId="0">
      <selection activeCell="K25" sqref="K25"/>
    </sheetView>
  </sheetViews>
  <sheetFormatPr defaultColWidth="9.140625" defaultRowHeight="12.75"/>
  <cols>
    <col min="1" max="1" width="5.28515625" customWidth="1"/>
    <col min="2" max="2" width="22.28515625" customWidth="1"/>
    <col min="3" max="3" width="12.5703125" style="1" customWidth="1"/>
    <col min="4" max="4" width="11.42578125" customWidth="1"/>
    <col min="5" max="5" width="12.42578125" customWidth="1"/>
    <col min="6" max="6" width="12.28515625" customWidth="1"/>
    <col min="7" max="7" width="13.140625" customWidth="1"/>
    <col min="8" max="8" width="11.85546875" customWidth="1"/>
    <col min="9" max="9" width="10" customWidth="1"/>
    <col min="10" max="10" width="10.28515625" bestFit="1" customWidth="1"/>
  </cols>
  <sheetData>
    <row r="1" spans="1:11" ht="17.25" customHeight="1">
      <c r="A1" t="s">
        <v>0</v>
      </c>
    </row>
    <row r="2" spans="1:11" ht="13.5" customHeight="1">
      <c r="J2" s="8" t="s">
        <v>107</v>
      </c>
    </row>
    <row r="3" spans="1:11" ht="20.25" customHeight="1">
      <c r="A3" s="2" t="s">
        <v>137</v>
      </c>
      <c r="J3" s="8" t="s">
        <v>108</v>
      </c>
    </row>
    <row r="4" spans="1:11">
      <c r="J4" s="8" t="s">
        <v>110</v>
      </c>
    </row>
    <row r="5" spans="1:11" s="40" customFormat="1" ht="28.5" customHeight="1">
      <c r="A5" s="83" t="s">
        <v>1</v>
      </c>
      <c r="B5" s="83" t="s">
        <v>2</v>
      </c>
      <c r="C5" s="83" t="s">
        <v>3</v>
      </c>
      <c r="D5" s="88" t="s">
        <v>4</v>
      </c>
      <c r="E5" s="89"/>
      <c r="F5" s="88" t="s">
        <v>109</v>
      </c>
      <c r="G5" s="89"/>
      <c r="H5" s="83" t="s">
        <v>5</v>
      </c>
      <c r="J5" s="76" t="s">
        <v>114</v>
      </c>
    </row>
    <row r="6" spans="1:11" s="40" customFormat="1" ht="32.25" customHeight="1">
      <c r="A6" s="83"/>
      <c r="B6" s="83"/>
      <c r="C6" s="83"/>
      <c r="D6" s="70" t="s">
        <v>13</v>
      </c>
      <c r="E6" s="70" t="s">
        <v>14</v>
      </c>
      <c r="F6" s="70" t="s">
        <v>35</v>
      </c>
      <c r="G6" s="70" t="s">
        <v>36</v>
      </c>
      <c r="H6" s="83"/>
      <c r="J6" s="76" t="s">
        <v>115</v>
      </c>
    </row>
    <row r="7" spans="1:11" ht="18" customHeight="1">
      <c r="A7" s="47">
        <v>1</v>
      </c>
      <c r="B7" s="54" t="s">
        <v>52</v>
      </c>
      <c r="C7" s="55">
        <v>5700000</v>
      </c>
      <c r="D7" s="56">
        <f>C7*0.02*0.75*3</f>
        <v>256500</v>
      </c>
      <c r="E7" s="56">
        <f>C7*0.02*0.25*3</f>
        <v>85500</v>
      </c>
      <c r="F7" s="56">
        <f>C7*0.005*0.7*3</f>
        <v>59850</v>
      </c>
      <c r="G7" s="56">
        <f>C7*0.005*0.3*3</f>
        <v>25650</v>
      </c>
      <c r="H7" s="56">
        <f>C7*0.03*3</f>
        <v>513000</v>
      </c>
      <c r="J7" s="76" t="s">
        <v>118</v>
      </c>
      <c r="K7" s="74"/>
    </row>
    <row r="8" spans="1:11" ht="18" customHeight="1">
      <c r="A8" s="7">
        <v>2</v>
      </c>
      <c r="B8" s="49" t="s">
        <v>53</v>
      </c>
      <c r="C8" s="5">
        <v>5700000</v>
      </c>
      <c r="D8" s="56">
        <f t="shared" ref="D8:D48" si="0">C8*0.02*0.75*3</f>
        <v>256500</v>
      </c>
      <c r="E8" s="56">
        <f t="shared" ref="E8:E25" si="1">C8*0.02*0.25*3</f>
        <v>85500</v>
      </c>
      <c r="F8" s="56">
        <f t="shared" ref="F8:F25" si="2">C8*0.005*0.7*3</f>
        <v>59850</v>
      </c>
      <c r="G8" s="56">
        <f t="shared" ref="G8:G25" si="3">C8*0.005*0.3*3</f>
        <v>25650</v>
      </c>
      <c r="H8" s="56">
        <f t="shared" ref="H8:H48" si="4">C8*0.03*3</f>
        <v>513000</v>
      </c>
    </row>
    <row r="9" spans="1:11" ht="18" customHeight="1">
      <c r="A9" s="47">
        <v>3</v>
      </c>
      <c r="B9" s="49" t="s">
        <v>54</v>
      </c>
      <c r="C9" s="5">
        <v>5700000</v>
      </c>
      <c r="D9" s="56">
        <f t="shared" si="0"/>
        <v>256500</v>
      </c>
      <c r="E9" s="56">
        <f t="shared" si="1"/>
        <v>85500</v>
      </c>
      <c r="F9" s="56">
        <f t="shared" si="2"/>
        <v>59850</v>
      </c>
      <c r="G9" s="56">
        <f t="shared" si="3"/>
        <v>25650</v>
      </c>
      <c r="H9" s="56">
        <f t="shared" si="4"/>
        <v>513000</v>
      </c>
    </row>
    <row r="10" spans="1:11" ht="18" customHeight="1">
      <c r="A10" s="7">
        <v>4</v>
      </c>
      <c r="B10" s="50" t="s">
        <v>55</v>
      </c>
      <c r="C10" s="5">
        <v>5700000</v>
      </c>
      <c r="D10" s="56">
        <f t="shared" si="0"/>
        <v>256500</v>
      </c>
      <c r="E10" s="56">
        <f t="shared" si="1"/>
        <v>85500</v>
      </c>
      <c r="F10" s="56">
        <f t="shared" si="2"/>
        <v>59850</v>
      </c>
      <c r="G10" s="56">
        <f t="shared" si="3"/>
        <v>25650</v>
      </c>
      <c r="H10" s="56">
        <f t="shared" si="4"/>
        <v>513000</v>
      </c>
    </row>
    <row r="11" spans="1:11" ht="18" customHeight="1">
      <c r="A11" s="47">
        <v>5</v>
      </c>
      <c r="B11" s="49" t="s">
        <v>56</v>
      </c>
      <c r="C11" s="5">
        <v>5700000</v>
      </c>
      <c r="D11" s="56">
        <f t="shared" si="0"/>
        <v>256500</v>
      </c>
      <c r="E11" s="56">
        <f t="shared" si="1"/>
        <v>85500</v>
      </c>
      <c r="F11" s="56">
        <f t="shared" si="2"/>
        <v>59850</v>
      </c>
      <c r="G11" s="56">
        <f t="shared" si="3"/>
        <v>25650</v>
      </c>
      <c r="H11" s="56">
        <f t="shared" si="4"/>
        <v>513000</v>
      </c>
    </row>
    <row r="12" spans="1:11" ht="18" customHeight="1">
      <c r="A12" s="7">
        <v>6</v>
      </c>
      <c r="B12" s="49" t="s">
        <v>57</v>
      </c>
      <c r="C12" s="5">
        <v>5700000</v>
      </c>
      <c r="D12" s="56">
        <f t="shared" si="0"/>
        <v>256500</v>
      </c>
      <c r="E12" s="56">
        <f t="shared" si="1"/>
        <v>85500</v>
      </c>
      <c r="F12" s="56">
        <f t="shared" si="2"/>
        <v>59850</v>
      </c>
      <c r="G12" s="56">
        <f t="shared" si="3"/>
        <v>25650</v>
      </c>
      <c r="H12" s="56">
        <f t="shared" si="4"/>
        <v>513000</v>
      </c>
    </row>
    <row r="13" spans="1:11" ht="18" customHeight="1">
      <c r="A13" s="47">
        <v>7</v>
      </c>
      <c r="B13" s="49" t="s">
        <v>58</v>
      </c>
      <c r="C13" s="5">
        <v>5700000</v>
      </c>
      <c r="D13" s="56">
        <f t="shared" si="0"/>
        <v>256500</v>
      </c>
      <c r="E13" s="56">
        <f t="shared" si="1"/>
        <v>85500</v>
      </c>
      <c r="F13" s="56">
        <f t="shared" si="2"/>
        <v>59850</v>
      </c>
      <c r="G13" s="56">
        <f t="shared" si="3"/>
        <v>25650</v>
      </c>
      <c r="H13" s="56">
        <f t="shared" si="4"/>
        <v>513000</v>
      </c>
    </row>
    <row r="14" spans="1:11" ht="18" customHeight="1">
      <c r="A14" s="7">
        <v>8</v>
      </c>
      <c r="B14" s="49" t="s">
        <v>59</v>
      </c>
      <c r="C14" s="5">
        <v>5700000</v>
      </c>
      <c r="D14" s="56">
        <f t="shared" si="0"/>
        <v>256500</v>
      </c>
      <c r="E14" s="56">
        <f t="shared" si="1"/>
        <v>85500</v>
      </c>
      <c r="F14" s="56">
        <f t="shared" si="2"/>
        <v>59850</v>
      </c>
      <c r="G14" s="56">
        <f t="shared" si="3"/>
        <v>25650</v>
      </c>
      <c r="H14" s="56">
        <f t="shared" si="4"/>
        <v>513000</v>
      </c>
    </row>
    <row r="15" spans="1:11" ht="18" customHeight="1">
      <c r="A15" s="47">
        <v>9</v>
      </c>
      <c r="B15" s="49" t="s">
        <v>60</v>
      </c>
      <c r="C15" s="5">
        <v>5700000</v>
      </c>
      <c r="D15" s="56">
        <f t="shared" si="0"/>
        <v>256500</v>
      </c>
      <c r="E15" s="56">
        <f t="shared" si="1"/>
        <v>85500</v>
      </c>
      <c r="F15" s="56">
        <f t="shared" si="2"/>
        <v>59850</v>
      </c>
      <c r="G15" s="56">
        <f t="shared" si="3"/>
        <v>25650</v>
      </c>
      <c r="H15" s="56">
        <f t="shared" si="4"/>
        <v>513000</v>
      </c>
    </row>
    <row r="16" spans="1:11" ht="18" customHeight="1">
      <c r="A16" s="7">
        <v>10</v>
      </c>
      <c r="B16" s="49" t="s">
        <v>61</v>
      </c>
      <c r="C16" s="5">
        <v>5700000</v>
      </c>
      <c r="D16" s="56">
        <f t="shared" si="0"/>
        <v>256500</v>
      </c>
      <c r="E16" s="56">
        <f t="shared" si="1"/>
        <v>85500</v>
      </c>
      <c r="F16" s="56">
        <f t="shared" si="2"/>
        <v>59850</v>
      </c>
      <c r="G16" s="56">
        <f t="shared" si="3"/>
        <v>25650</v>
      </c>
      <c r="H16" s="56">
        <f t="shared" si="4"/>
        <v>513000</v>
      </c>
    </row>
    <row r="17" spans="1:8" ht="18" customHeight="1">
      <c r="A17" s="47">
        <v>11</v>
      </c>
      <c r="B17" s="49" t="s">
        <v>64</v>
      </c>
      <c r="C17" s="5">
        <v>5700000</v>
      </c>
      <c r="D17" s="56">
        <f t="shared" si="0"/>
        <v>256500</v>
      </c>
      <c r="E17" s="56">
        <f t="shared" si="1"/>
        <v>85500</v>
      </c>
      <c r="F17" s="56">
        <f t="shared" si="2"/>
        <v>59850</v>
      </c>
      <c r="G17" s="56">
        <f t="shared" si="3"/>
        <v>25650</v>
      </c>
      <c r="H17" s="56">
        <f t="shared" si="4"/>
        <v>513000</v>
      </c>
    </row>
    <row r="18" spans="1:8" ht="18" customHeight="1">
      <c r="A18" s="7">
        <v>12</v>
      </c>
      <c r="B18" s="49" t="s">
        <v>63</v>
      </c>
      <c r="C18" s="5">
        <v>5700000</v>
      </c>
      <c r="D18" s="56">
        <f t="shared" si="0"/>
        <v>256500</v>
      </c>
      <c r="E18" s="56">
        <f t="shared" si="1"/>
        <v>85500</v>
      </c>
      <c r="F18" s="56">
        <f t="shared" si="2"/>
        <v>59850</v>
      </c>
      <c r="G18" s="56">
        <f t="shared" si="3"/>
        <v>25650</v>
      </c>
      <c r="H18" s="56">
        <f t="shared" si="4"/>
        <v>513000</v>
      </c>
    </row>
    <row r="19" spans="1:8" ht="18" customHeight="1">
      <c r="A19" s="47">
        <v>13</v>
      </c>
      <c r="B19" s="50" t="s">
        <v>65</v>
      </c>
      <c r="C19" s="5">
        <v>5700000</v>
      </c>
      <c r="D19" s="56">
        <f t="shared" si="0"/>
        <v>256500</v>
      </c>
      <c r="E19" s="56">
        <f t="shared" si="1"/>
        <v>85500</v>
      </c>
      <c r="F19" s="56">
        <f t="shared" si="2"/>
        <v>59850</v>
      </c>
      <c r="G19" s="56">
        <f t="shared" si="3"/>
        <v>25650</v>
      </c>
      <c r="H19" s="56">
        <f t="shared" si="4"/>
        <v>513000</v>
      </c>
    </row>
    <row r="20" spans="1:8" ht="18" customHeight="1">
      <c r="A20" s="7">
        <v>14</v>
      </c>
      <c r="B20" s="50" t="s">
        <v>66</v>
      </c>
      <c r="C20" s="5">
        <v>5700000</v>
      </c>
      <c r="D20" s="56">
        <f t="shared" si="0"/>
        <v>256500</v>
      </c>
      <c r="E20" s="56">
        <f t="shared" si="1"/>
        <v>85500</v>
      </c>
      <c r="F20" s="56">
        <f t="shared" si="2"/>
        <v>59850</v>
      </c>
      <c r="G20" s="56">
        <f t="shared" si="3"/>
        <v>25650</v>
      </c>
      <c r="H20" s="56">
        <f t="shared" si="4"/>
        <v>513000</v>
      </c>
    </row>
    <row r="21" spans="1:8" ht="18" customHeight="1">
      <c r="A21" s="47">
        <v>15</v>
      </c>
      <c r="B21" s="51" t="s">
        <v>67</v>
      </c>
      <c r="C21" s="5">
        <v>5700000</v>
      </c>
      <c r="D21" s="56">
        <f t="shared" si="0"/>
        <v>256500</v>
      </c>
      <c r="E21" s="56">
        <f t="shared" si="1"/>
        <v>85500</v>
      </c>
      <c r="F21" s="56">
        <f t="shared" si="2"/>
        <v>59850</v>
      </c>
      <c r="G21" s="56">
        <f t="shared" si="3"/>
        <v>25650</v>
      </c>
      <c r="H21" s="56">
        <f t="shared" si="4"/>
        <v>513000</v>
      </c>
    </row>
    <row r="22" spans="1:8" ht="18" customHeight="1">
      <c r="A22" s="7">
        <v>16</v>
      </c>
      <c r="B22" s="52" t="s">
        <v>68</v>
      </c>
      <c r="C22" s="5">
        <v>5700000</v>
      </c>
      <c r="D22" s="56">
        <f t="shared" si="0"/>
        <v>256500</v>
      </c>
      <c r="E22" s="56">
        <f t="shared" si="1"/>
        <v>85500</v>
      </c>
      <c r="F22" s="56">
        <f t="shared" si="2"/>
        <v>59850</v>
      </c>
      <c r="G22" s="56">
        <f t="shared" si="3"/>
        <v>25650</v>
      </c>
      <c r="H22" s="56">
        <f t="shared" si="4"/>
        <v>513000</v>
      </c>
    </row>
    <row r="23" spans="1:8" ht="18" customHeight="1">
      <c r="A23" s="47">
        <v>17</v>
      </c>
      <c r="B23" s="52" t="s">
        <v>117</v>
      </c>
      <c r="C23" s="5">
        <v>5700000</v>
      </c>
      <c r="D23" s="56">
        <f t="shared" si="0"/>
        <v>256500</v>
      </c>
      <c r="E23" s="56">
        <f t="shared" si="1"/>
        <v>85500</v>
      </c>
      <c r="F23" s="56">
        <f t="shared" si="2"/>
        <v>59850</v>
      </c>
      <c r="G23" s="56">
        <f t="shared" si="3"/>
        <v>25650</v>
      </c>
      <c r="H23" s="56">
        <f t="shared" si="4"/>
        <v>513000</v>
      </c>
    </row>
    <row r="24" spans="1:8" ht="18" customHeight="1">
      <c r="A24" s="7">
        <v>18</v>
      </c>
      <c r="B24" s="49" t="s">
        <v>62</v>
      </c>
      <c r="C24" s="5">
        <v>5700000</v>
      </c>
      <c r="D24" s="56">
        <f t="shared" si="0"/>
        <v>256500</v>
      </c>
      <c r="E24" s="56">
        <f t="shared" si="1"/>
        <v>85500</v>
      </c>
      <c r="F24" s="56">
        <f t="shared" si="2"/>
        <v>59850</v>
      </c>
      <c r="G24" s="56">
        <f t="shared" si="3"/>
        <v>25650</v>
      </c>
      <c r="H24" s="56">
        <f t="shared" si="4"/>
        <v>513000</v>
      </c>
    </row>
    <row r="25" spans="1:8" ht="18" customHeight="1">
      <c r="A25" s="47">
        <v>19</v>
      </c>
      <c r="B25" s="52" t="s">
        <v>8</v>
      </c>
      <c r="C25" s="5">
        <v>5700000</v>
      </c>
      <c r="D25" s="56">
        <f t="shared" si="0"/>
        <v>256500</v>
      </c>
      <c r="E25" s="56">
        <f t="shared" si="1"/>
        <v>85500</v>
      </c>
      <c r="F25" s="56">
        <f t="shared" si="2"/>
        <v>59850</v>
      </c>
      <c r="G25" s="56">
        <f t="shared" si="3"/>
        <v>25650</v>
      </c>
      <c r="H25" s="56">
        <f t="shared" si="4"/>
        <v>513000</v>
      </c>
    </row>
    <row r="26" spans="1:8" ht="18" customHeight="1">
      <c r="A26" s="7">
        <v>20</v>
      </c>
      <c r="B26" s="52" t="s">
        <v>69</v>
      </c>
      <c r="C26" s="5">
        <v>15000000</v>
      </c>
      <c r="D26" s="56">
        <f>C26*0.02*0.75*3</f>
        <v>675000</v>
      </c>
      <c r="E26" s="56">
        <f>C26*0.02*0.25*3</f>
        <v>225000</v>
      </c>
      <c r="F26" s="56">
        <f>C26*0.005*0.7*3</f>
        <v>157500</v>
      </c>
      <c r="G26" s="56">
        <f>C26*0.005*0.3*3</f>
        <v>67500</v>
      </c>
      <c r="H26" s="56">
        <f t="shared" si="4"/>
        <v>1350000</v>
      </c>
    </row>
    <row r="27" spans="1:8" ht="18" customHeight="1">
      <c r="A27" s="47">
        <v>21</v>
      </c>
      <c r="B27" s="52" t="s">
        <v>70</v>
      </c>
      <c r="C27" s="5">
        <v>5700000</v>
      </c>
      <c r="D27" s="56">
        <f t="shared" si="0"/>
        <v>256500</v>
      </c>
      <c r="E27" s="56">
        <f t="shared" ref="E27" si="5">C27*0.02*0.25*3</f>
        <v>85500</v>
      </c>
      <c r="F27" s="56">
        <f t="shared" ref="F27" si="6">C27*0.005*0.7*3</f>
        <v>59850</v>
      </c>
      <c r="G27" s="56">
        <f t="shared" ref="G27" si="7">C27*0.005*0.3*3</f>
        <v>25650</v>
      </c>
      <c r="H27" s="56">
        <f t="shared" si="4"/>
        <v>513000</v>
      </c>
    </row>
    <row r="28" spans="1:8" ht="18" customHeight="1">
      <c r="A28" s="47">
        <v>22</v>
      </c>
      <c r="B28" s="52" t="s">
        <v>42</v>
      </c>
      <c r="C28" s="5">
        <v>5700000</v>
      </c>
      <c r="D28" s="56">
        <f t="shared" si="0"/>
        <v>256500</v>
      </c>
      <c r="E28" s="56">
        <f t="shared" ref="E28" si="8">C28*0.02*0.25*3</f>
        <v>85500</v>
      </c>
      <c r="F28" s="56">
        <f t="shared" ref="F28" si="9">C28*0.005*0.7*3</f>
        <v>59850</v>
      </c>
      <c r="G28" s="56">
        <f t="shared" ref="G28" si="10">C28*0.005*0.3*3</f>
        <v>25650</v>
      </c>
      <c r="H28" s="56">
        <f t="shared" si="4"/>
        <v>513000</v>
      </c>
    </row>
    <row r="29" spans="1:8" ht="18" customHeight="1">
      <c r="A29" s="47">
        <v>23</v>
      </c>
      <c r="B29" s="53" t="s">
        <v>71</v>
      </c>
      <c r="C29" s="5">
        <v>5310000</v>
      </c>
      <c r="D29" s="56">
        <f>C29*0.02*0.75*3</f>
        <v>238950</v>
      </c>
      <c r="E29" s="56">
        <f>C29*0.02*0.25*3</f>
        <v>79650</v>
      </c>
      <c r="F29" s="56">
        <f>C29*0.005*0.7*3</f>
        <v>55755</v>
      </c>
      <c r="G29" s="56">
        <f>C29*0.005*0.3*3</f>
        <v>23895</v>
      </c>
      <c r="H29" s="56">
        <f t="shared" si="4"/>
        <v>477900</v>
      </c>
    </row>
    <row r="30" spans="1:8" ht="18" customHeight="1">
      <c r="A30" s="47">
        <v>24</v>
      </c>
      <c r="B30" s="53" t="s">
        <v>72</v>
      </c>
      <c r="C30" s="5">
        <v>5700000</v>
      </c>
      <c r="D30" s="56">
        <f t="shared" si="0"/>
        <v>256500</v>
      </c>
      <c r="E30" s="56">
        <f t="shared" ref="E30" si="11">C30*0.02*0.25*3</f>
        <v>85500</v>
      </c>
      <c r="F30" s="56">
        <f t="shared" ref="F30" si="12">C30*0.005*0.7*3</f>
        <v>59850</v>
      </c>
      <c r="G30" s="56">
        <f t="shared" ref="G30" si="13">C30*0.005*0.3*3</f>
        <v>25650</v>
      </c>
      <c r="H30" s="56">
        <f t="shared" si="4"/>
        <v>513000</v>
      </c>
    </row>
    <row r="31" spans="1:8" ht="18" customHeight="1">
      <c r="A31" s="47">
        <v>25</v>
      </c>
      <c r="B31" s="53" t="s">
        <v>73</v>
      </c>
      <c r="C31" s="5">
        <v>5700000</v>
      </c>
      <c r="D31" s="56">
        <f t="shared" si="0"/>
        <v>256500</v>
      </c>
      <c r="E31" s="56">
        <f t="shared" ref="E31:E45" si="14">C31*0.02*0.25*3</f>
        <v>85500</v>
      </c>
      <c r="F31" s="56">
        <f t="shared" ref="F31:F45" si="15">C31*0.005*0.7*3</f>
        <v>59850</v>
      </c>
      <c r="G31" s="56">
        <f t="shared" ref="G31:G45" si="16">C31*0.005*0.3*3</f>
        <v>25650</v>
      </c>
      <c r="H31" s="56">
        <f t="shared" si="4"/>
        <v>513000</v>
      </c>
    </row>
    <row r="32" spans="1:8" ht="18" customHeight="1">
      <c r="A32" s="47">
        <v>26</v>
      </c>
      <c r="B32" s="53" t="s">
        <v>74</v>
      </c>
      <c r="C32" s="5">
        <v>5700000</v>
      </c>
      <c r="D32" s="56">
        <f t="shared" si="0"/>
        <v>256500</v>
      </c>
      <c r="E32" s="56">
        <f t="shared" si="14"/>
        <v>85500</v>
      </c>
      <c r="F32" s="56">
        <f t="shared" si="15"/>
        <v>59850</v>
      </c>
      <c r="G32" s="56">
        <f t="shared" si="16"/>
        <v>25650</v>
      </c>
      <c r="H32" s="56">
        <f t="shared" si="4"/>
        <v>513000</v>
      </c>
    </row>
    <row r="33" spans="1:9" ht="18" customHeight="1">
      <c r="A33" s="47">
        <v>27</v>
      </c>
      <c r="B33" s="53" t="s">
        <v>75</v>
      </c>
      <c r="C33" s="5">
        <v>5700000</v>
      </c>
      <c r="D33" s="56">
        <f t="shared" si="0"/>
        <v>256500</v>
      </c>
      <c r="E33" s="56">
        <f t="shared" si="14"/>
        <v>85500</v>
      </c>
      <c r="F33" s="56">
        <f t="shared" si="15"/>
        <v>59850</v>
      </c>
      <c r="G33" s="56">
        <f t="shared" si="16"/>
        <v>25650</v>
      </c>
      <c r="H33" s="56">
        <f t="shared" si="4"/>
        <v>513000</v>
      </c>
    </row>
    <row r="34" spans="1:9" ht="18" customHeight="1">
      <c r="A34" s="47">
        <v>28</v>
      </c>
      <c r="B34" s="53" t="s">
        <v>77</v>
      </c>
      <c r="C34" s="5">
        <v>5700000</v>
      </c>
      <c r="D34" s="56">
        <f>C34*0.02*0.75*2</f>
        <v>171000</v>
      </c>
      <c r="E34" s="56">
        <f>C34*0.02*0.25*2</f>
        <v>57000</v>
      </c>
      <c r="F34" s="56">
        <f>C34*0.005*0.7*2</f>
        <v>39900</v>
      </c>
      <c r="G34" s="56">
        <f>C34*0.005*0.3*2</f>
        <v>17100</v>
      </c>
      <c r="H34" s="56">
        <f>C34*0.03*2</f>
        <v>342000</v>
      </c>
    </row>
    <row r="35" spans="1:9" ht="18" customHeight="1">
      <c r="A35" s="47">
        <v>29</v>
      </c>
      <c r="B35" s="53" t="s">
        <v>78</v>
      </c>
      <c r="C35" s="5">
        <v>5700000</v>
      </c>
      <c r="D35" s="56">
        <f t="shared" si="0"/>
        <v>256500</v>
      </c>
      <c r="E35" s="56">
        <f t="shared" si="14"/>
        <v>85500</v>
      </c>
      <c r="F35" s="56">
        <f>C35*0.005*0.7*3</f>
        <v>59850</v>
      </c>
      <c r="G35" s="56">
        <f t="shared" si="16"/>
        <v>25650</v>
      </c>
      <c r="H35" s="56">
        <f t="shared" si="4"/>
        <v>513000</v>
      </c>
    </row>
    <row r="36" spans="1:9" ht="18" customHeight="1">
      <c r="A36" s="47">
        <v>30</v>
      </c>
      <c r="B36" s="52" t="s">
        <v>97</v>
      </c>
      <c r="C36" s="5">
        <v>20000000</v>
      </c>
      <c r="D36" s="56">
        <f>+'012026'!D36+'02026'!D36+'032026'!D36</f>
        <v>685500</v>
      </c>
      <c r="E36" s="56">
        <f>+'012026'!E36+'02026'!E36+'032026'!E36</f>
        <v>228500</v>
      </c>
      <c r="F36" s="56">
        <f>+'012026'!F36+'02026'!F36+'032026'!F36</f>
        <v>159950</v>
      </c>
      <c r="G36" s="56">
        <f>+'012026'!G36+'02026'!G36+'032026'!G36</f>
        <v>68550</v>
      </c>
      <c r="H36" s="56">
        <f>+'012026'!H36+'02026'!H36+'032026'!H36</f>
        <v>1371000</v>
      </c>
      <c r="I36" t="s">
        <v>144</v>
      </c>
    </row>
    <row r="37" spans="1:9" ht="18" customHeight="1">
      <c r="A37" s="47">
        <v>31</v>
      </c>
      <c r="B37" s="53" t="s">
        <v>76</v>
      </c>
      <c r="C37" s="5">
        <v>5700000</v>
      </c>
      <c r="D37" s="56">
        <f t="shared" si="0"/>
        <v>256500</v>
      </c>
      <c r="E37" s="56">
        <f t="shared" si="14"/>
        <v>85500</v>
      </c>
      <c r="F37" s="56">
        <f t="shared" si="15"/>
        <v>59850</v>
      </c>
      <c r="G37" s="56">
        <f t="shared" si="16"/>
        <v>25650</v>
      </c>
      <c r="H37" s="56">
        <f t="shared" si="4"/>
        <v>513000</v>
      </c>
    </row>
    <row r="38" spans="1:9" ht="18" customHeight="1">
      <c r="A38" s="47">
        <v>32</v>
      </c>
      <c r="B38" s="53" t="s">
        <v>106</v>
      </c>
      <c r="C38" s="5">
        <v>5700000</v>
      </c>
      <c r="D38" s="56">
        <f t="shared" si="0"/>
        <v>256500</v>
      </c>
      <c r="E38" s="56">
        <f t="shared" si="14"/>
        <v>85500</v>
      </c>
      <c r="F38" s="56">
        <f t="shared" si="15"/>
        <v>59850</v>
      </c>
      <c r="G38" s="56">
        <f t="shared" si="16"/>
        <v>25650</v>
      </c>
      <c r="H38" s="56">
        <f t="shared" si="4"/>
        <v>513000</v>
      </c>
    </row>
    <row r="39" spans="1:9" ht="18" customHeight="1">
      <c r="A39" s="47">
        <v>33</v>
      </c>
      <c r="B39" s="53" t="s">
        <v>81</v>
      </c>
      <c r="C39" s="5">
        <v>5700000</v>
      </c>
      <c r="D39" s="56">
        <f t="shared" si="0"/>
        <v>256500</v>
      </c>
      <c r="E39" s="56">
        <f t="shared" si="14"/>
        <v>85500</v>
      </c>
      <c r="F39" s="56">
        <f t="shared" si="15"/>
        <v>59850</v>
      </c>
      <c r="G39" s="56">
        <f t="shared" si="16"/>
        <v>25650</v>
      </c>
      <c r="H39" s="56">
        <f t="shared" si="4"/>
        <v>513000</v>
      </c>
    </row>
    <row r="40" spans="1:9" ht="18" customHeight="1">
      <c r="A40" s="47">
        <v>34</v>
      </c>
      <c r="B40" s="53" t="s">
        <v>80</v>
      </c>
      <c r="C40" s="5">
        <v>5700000</v>
      </c>
      <c r="D40" s="56">
        <f t="shared" si="0"/>
        <v>256500</v>
      </c>
      <c r="E40" s="56">
        <f t="shared" si="14"/>
        <v>85500</v>
      </c>
      <c r="F40" s="56">
        <f t="shared" si="15"/>
        <v>59850</v>
      </c>
      <c r="G40" s="56">
        <f t="shared" si="16"/>
        <v>25650</v>
      </c>
      <c r="H40" s="56">
        <f t="shared" si="4"/>
        <v>513000</v>
      </c>
    </row>
    <row r="41" spans="1:9" ht="18" customHeight="1">
      <c r="A41" s="47">
        <v>35</v>
      </c>
      <c r="B41" s="52" t="s">
        <v>82</v>
      </c>
      <c r="C41" s="5">
        <v>5700000</v>
      </c>
      <c r="D41" s="56">
        <f t="shared" si="0"/>
        <v>256500</v>
      </c>
      <c r="E41" s="56">
        <f t="shared" si="14"/>
        <v>85500</v>
      </c>
      <c r="F41" s="56">
        <f t="shared" si="15"/>
        <v>59850</v>
      </c>
      <c r="G41" s="56">
        <f t="shared" si="16"/>
        <v>25650</v>
      </c>
      <c r="H41" s="56">
        <f t="shared" si="4"/>
        <v>513000</v>
      </c>
    </row>
    <row r="42" spans="1:9" ht="18" customHeight="1">
      <c r="A42" s="47">
        <v>36</v>
      </c>
      <c r="B42" s="52" t="s">
        <v>83</v>
      </c>
      <c r="C42" s="5">
        <v>5700000</v>
      </c>
      <c r="D42" s="56">
        <f t="shared" si="0"/>
        <v>256500</v>
      </c>
      <c r="E42" s="56">
        <f t="shared" si="14"/>
        <v>85500</v>
      </c>
      <c r="F42" s="56">
        <f t="shared" si="15"/>
        <v>59850</v>
      </c>
      <c r="G42" s="56">
        <f t="shared" si="16"/>
        <v>25650</v>
      </c>
      <c r="H42" s="56">
        <f t="shared" si="4"/>
        <v>513000</v>
      </c>
    </row>
    <row r="43" spans="1:9" ht="18" customHeight="1">
      <c r="A43" s="47">
        <v>37</v>
      </c>
      <c r="B43" s="52" t="s">
        <v>84</v>
      </c>
      <c r="C43" s="5">
        <v>5700000</v>
      </c>
      <c r="D43" s="56">
        <f t="shared" si="0"/>
        <v>256500</v>
      </c>
      <c r="E43" s="56">
        <f t="shared" si="14"/>
        <v>85500</v>
      </c>
      <c r="F43" s="56">
        <f t="shared" si="15"/>
        <v>59850</v>
      </c>
      <c r="G43" s="56">
        <f t="shared" si="16"/>
        <v>25650</v>
      </c>
      <c r="H43" s="56">
        <f t="shared" si="4"/>
        <v>513000</v>
      </c>
    </row>
    <row r="44" spans="1:9" ht="18" customHeight="1">
      <c r="A44" s="47">
        <v>38</v>
      </c>
      <c r="B44" s="52" t="s">
        <v>85</v>
      </c>
      <c r="C44" s="5">
        <v>5700000</v>
      </c>
      <c r="D44" s="56">
        <f t="shared" si="0"/>
        <v>256500</v>
      </c>
      <c r="E44" s="56">
        <f t="shared" si="14"/>
        <v>85500</v>
      </c>
      <c r="F44" s="56">
        <f t="shared" si="15"/>
        <v>59850</v>
      </c>
      <c r="G44" s="56">
        <f t="shared" si="16"/>
        <v>25650</v>
      </c>
      <c r="H44" s="56">
        <f t="shared" si="4"/>
        <v>513000</v>
      </c>
    </row>
    <row r="45" spans="1:9" ht="18" customHeight="1">
      <c r="A45" s="47">
        <v>39</v>
      </c>
      <c r="B45" s="52" t="s">
        <v>86</v>
      </c>
      <c r="C45" s="5">
        <v>0</v>
      </c>
      <c r="D45" s="56">
        <f t="shared" si="0"/>
        <v>0</v>
      </c>
      <c r="E45" s="56">
        <f t="shared" si="14"/>
        <v>0</v>
      </c>
      <c r="F45" s="56">
        <f t="shared" si="15"/>
        <v>0</v>
      </c>
      <c r="G45" s="56">
        <f t="shared" si="16"/>
        <v>0</v>
      </c>
      <c r="H45" s="56">
        <f t="shared" si="4"/>
        <v>0</v>
      </c>
      <c r="I45" t="s">
        <v>116</v>
      </c>
    </row>
    <row r="46" spans="1:9" ht="18" customHeight="1">
      <c r="A46" s="47">
        <v>40</v>
      </c>
      <c r="B46" s="52" t="s">
        <v>98</v>
      </c>
      <c r="C46" s="5">
        <v>5700000</v>
      </c>
      <c r="D46" s="56">
        <f t="shared" si="0"/>
        <v>256500</v>
      </c>
      <c r="E46" s="56">
        <f t="shared" ref="E46:E48" si="17">C46*0.02*0.25*3</f>
        <v>85500</v>
      </c>
      <c r="F46" s="56">
        <f t="shared" ref="F46:F48" si="18">C46*0.005*0.7*3</f>
        <v>59850</v>
      </c>
      <c r="G46" s="56">
        <f t="shared" ref="G46:G48" si="19">C46*0.005*0.3*3</f>
        <v>25650</v>
      </c>
      <c r="H46" s="56">
        <f t="shared" si="4"/>
        <v>513000</v>
      </c>
      <c r="I46" s="8"/>
    </row>
    <row r="47" spans="1:9" ht="18" customHeight="1">
      <c r="A47" s="47">
        <v>41</v>
      </c>
      <c r="B47" s="52" t="s">
        <v>126</v>
      </c>
      <c r="C47" s="5">
        <v>5700000</v>
      </c>
      <c r="D47" s="56">
        <f t="shared" ref="D47" si="20">C47*0.02*0.75*3</f>
        <v>256500</v>
      </c>
      <c r="E47" s="56">
        <f t="shared" ref="E47" si="21">C47*0.02*0.25*3</f>
        <v>85500</v>
      </c>
      <c r="F47" s="56">
        <f t="shared" ref="F47" si="22">C47*0.005*0.7*3</f>
        <v>59850</v>
      </c>
      <c r="G47" s="56">
        <f t="shared" ref="G47" si="23">C47*0.005*0.3*3</f>
        <v>25650</v>
      </c>
      <c r="H47" s="56">
        <f t="shared" si="4"/>
        <v>513000</v>
      </c>
      <c r="I47" s="8"/>
    </row>
    <row r="48" spans="1:9" ht="18" customHeight="1">
      <c r="A48" s="47">
        <v>42</v>
      </c>
      <c r="B48" s="52" t="s">
        <v>140</v>
      </c>
      <c r="C48" s="5">
        <v>5700000</v>
      </c>
      <c r="D48" s="56">
        <f t="shared" si="0"/>
        <v>256500</v>
      </c>
      <c r="E48" s="56">
        <f t="shared" si="17"/>
        <v>85500</v>
      </c>
      <c r="F48" s="56">
        <f t="shared" si="18"/>
        <v>59850</v>
      </c>
      <c r="G48" s="56">
        <f t="shared" si="19"/>
        <v>25650</v>
      </c>
      <c r="H48" s="56">
        <f t="shared" si="4"/>
        <v>513000</v>
      </c>
      <c r="I48" s="8"/>
    </row>
    <row r="49" spans="1:10" ht="18" customHeight="1">
      <c r="A49" s="47">
        <v>43</v>
      </c>
      <c r="B49" s="52" t="s">
        <v>143</v>
      </c>
      <c r="C49" s="5">
        <v>5700000</v>
      </c>
      <c r="D49" s="56">
        <f t="shared" ref="D49" si="24">C49*0.02*0.75</f>
        <v>85500</v>
      </c>
      <c r="E49" s="56">
        <f t="shared" ref="E49" si="25">C49*0.02*0.25</f>
        <v>28500</v>
      </c>
      <c r="F49" s="56">
        <f>C49*0.005*0.7</f>
        <v>19950</v>
      </c>
      <c r="G49" s="56">
        <f>C49*0.005*0.3</f>
        <v>8550</v>
      </c>
      <c r="H49" s="56">
        <f>C49*0.03</f>
        <v>171000</v>
      </c>
      <c r="I49" s="8"/>
    </row>
    <row r="50" spans="1:10" ht="18" customHeight="1">
      <c r="A50" s="9"/>
      <c r="B50" s="10"/>
      <c r="C50" s="11"/>
      <c r="D50" s="12"/>
      <c r="E50" s="12"/>
      <c r="F50" s="12"/>
      <c r="G50" s="12"/>
      <c r="H50" s="12"/>
    </row>
    <row r="51" spans="1:10" s="40" customFormat="1" ht="17.25">
      <c r="A51" s="13"/>
      <c r="B51" s="14" t="s">
        <v>9</v>
      </c>
      <c r="C51" s="15">
        <f>SUM(C7:C50)*3</f>
        <v>787830000</v>
      </c>
      <c r="D51" s="15">
        <f>SUM(D7:D50)</f>
        <v>11346450</v>
      </c>
      <c r="E51" s="15">
        <f t="shared" ref="E51:H51" si="26">SUM(E7:E50)</f>
        <v>3782150</v>
      </c>
      <c r="F51" s="15">
        <f>SUM(F7:F50)</f>
        <v>2647505</v>
      </c>
      <c r="G51" s="15">
        <f t="shared" si="26"/>
        <v>1134645</v>
      </c>
      <c r="H51" s="15">
        <f t="shared" si="26"/>
        <v>22692900</v>
      </c>
      <c r="I51" s="17"/>
    </row>
    <row r="52" spans="1:10">
      <c r="A52" s="18"/>
      <c r="D52" s="19"/>
      <c r="J52" s="19"/>
    </row>
    <row r="53" spans="1:10">
      <c r="A53" s="18"/>
      <c r="D53" s="19"/>
      <c r="E53" s="86" t="s">
        <v>136</v>
      </c>
      <c r="F53" s="86"/>
      <c r="G53" s="86"/>
      <c r="H53" s="86"/>
    </row>
    <row r="54" spans="1:10">
      <c r="A54" s="18"/>
      <c r="E54" s="86" t="s">
        <v>10</v>
      </c>
      <c r="F54" s="86"/>
      <c r="G54" s="86"/>
      <c r="H54" s="86"/>
    </row>
    <row r="55" spans="1:10">
      <c r="A55" s="18"/>
      <c r="I55" s="20"/>
    </row>
    <row r="56" spans="1:10">
      <c r="A56" s="18"/>
      <c r="I56" s="19"/>
    </row>
    <row r="57" spans="1:10">
      <c r="A57" s="18"/>
    </row>
    <row r="59" spans="1:10">
      <c r="E59" s="87" t="s">
        <v>51</v>
      </c>
      <c r="F59" s="87"/>
      <c r="G59" s="87"/>
      <c r="H59" s="87"/>
    </row>
    <row r="61" spans="1:10">
      <c r="F61" s="80"/>
      <c r="H61" s="19"/>
    </row>
  </sheetData>
  <mergeCells count="9">
    <mergeCell ref="E53:H53"/>
    <mergeCell ref="E54:H54"/>
    <mergeCell ref="E59:H59"/>
    <mergeCell ref="A5:A6"/>
    <mergeCell ref="B5:B6"/>
    <mergeCell ref="C5:C6"/>
    <mergeCell ref="D5:E5"/>
    <mergeCell ref="F5:G5"/>
    <mergeCell ref="H5:H6"/>
  </mergeCells>
  <pageMargins left="0.27559055118110237" right="0.19685039370078741" top="0.23622047244094491" bottom="0.19685039370078741" header="0.51181102362204722" footer="0.51181102362204722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I31"/>
  <sheetViews>
    <sheetView tabSelected="1" workbookViewId="0">
      <selection activeCell="H15" sqref="H15"/>
    </sheetView>
  </sheetViews>
  <sheetFormatPr defaultRowHeight="16.5"/>
  <cols>
    <col min="1" max="1" width="17.5703125" style="23" customWidth="1"/>
    <col min="2" max="2" width="14" style="22" customWidth="1"/>
    <col min="3" max="4" width="18" style="23" customWidth="1"/>
    <col min="5" max="5" width="21.28515625" style="23" customWidth="1"/>
    <col min="6" max="8" width="25" style="23" customWidth="1"/>
    <col min="9" max="9" width="32.140625" style="23" customWidth="1"/>
    <col min="10" max="16384" width="9.140625" style="23"/>
  </cols>
  <sheetData>
    <row r="1" spans="1:9">
      <c r="A1" s="21" t="s">
        <v>20</v>
      </c>
    </row>
    <row r="2" spans="1:9">
      <c r="A2" s="21" t="s">
        <v>21</v>
      </c>
    </row>
    <row r="3" spans="1:9">
      <c r="A3" s="21" t="s">
        <v>22</v>
      </c>
    </row>
    <row r="6" spans="1:9" ht="26.25" customHeight="1">
      <c r="A6" s="92" t="s">
        <v>19</v>
      </c>
      <c r="B6" s="92"/>
      <c r="C6" s="92"/>
      <c r="D6" s="92"/>
      <c r="E6" s="92"/>
      <c r="F6" s="92"/>
      <c r="G6" s="92"/>
      <c r="H6" s="92"/>
    </row>
    <row r="7" spans="1:9">
      <c r="A7" s="24"/>
      <c r="B7" s="24"/>
      <c r="C7" s="24"/>
      <c r="D7" s="24"/>
      <c r="F7" s="24"/>
      <c r="G7" s="24"/>
      <c r="H7" s="24"/>
    </row>
    <row r="9" spans="1:9" s="27" customFormat="1" ht="49.5">
      <c r="A9" s="26" t="s">
        <v>23</v>
      </c>
      <c r="B9" s="25" t="s">
        <v>15</v>
      </c>
      <c r="C9" s="26" t="s">
        <v>16</v>
      </c>
      <c r="D9" s="26" t="s">
        <v>17</v>
      </c>
      <c r="E9" s="26" t="s">
        <v>119</v>
      </c>
      <c r="F9" s="26" t="s">
        <v>120</v>
      </c>
      <c r="G9" s="26" t="s">
        <v>125</v>
      </c>
      <c r="H9" s="26" t="s">
        <v>150</v>
      </c>
    </row>
    <row r="10" spans="1:9" s="27" customFormat="1">
      <c r="A10" s="36" t="s">
        <v>24</v>
      </c>
      <c r="B10" s="37" t="s">
        <v>25</v>
      </c>
      <c r="C10" s="37" t="s">
        <v>26</v>
      </c>
      <c r="D10" s="37" t="s">
        <v>27</v>
      </c>
      <c r="E10" s="37" t="s">
        <v>121</v>
      </c>
      <c r="F10" s="37" t="s">
        <v>122</v>
      </c>
      <c r="G10" s="37" t="s">
        <v>124</v>
      </c>
      <c r="H10" s="37" t="s">
        <v>123</v>
      </c>
    </row>
    <row r="11" spans="1:9" s="31" customFormat="1" ht="24.75" customHeight="1">
      <c r="A11" s="28" t="s">
        <v>130</v>
      </c>
      <c r="B11" s="29">
        <v>41</v>
      </c>
      <c r="C11" s="57">
        <f>+'012026'!C50</f>
        <v>242610000</v>
      </c>
      <c r="D11" s="30">
        <f t="shared" ref="D11" si="0">+C11*0.02</f>
        <v>4852200</v>
      </c>
      <c r="E11" s="30">
        <f t="shared" ref="E11" si="1">+(C11*2%)*0.75</f>
        <v>3639150</v>
      </c>
      <c r="F11" s="30">
        <f>+D11-E11</f>
        <v>1213050</v>
      </c>
      <c r="G11" s="30">
        <f>+C11*0.5%*0.7</f>
        <v>849135</v>
      </c>
      <c r="H11" s="30">
        <f t="shared" ref="H11:H13" si="2">+(C11*0.5%)*0.3</f>
        <v>363915</v>
      </c>
      <c r="I11" s="77"/>
    </row>
    <row r="12" spans="1:9" s="31" customFormat="1" ht="24.75" customHeight="1">
      <c r="A12" s="28" t="s">
        <v>131</v>
      </c>
      <c r="B12" s="29">
        <v>41</v>
      </c>
      <c r="C12" s="57">
        <f>+'02026'!C50</f>
        <v>256910000</v>
      </c>
      <c r="D12" s="30">
        <f t="shared" ref="D12:D13" si="3">+C12*0.02</f>
        <v>5138200</v>
      </c>
      <c r="E12" s="30">
        <f t="shared" ref="E12:E13" si="4">+(C12*2%)*0.75</f>
        <v>3853650</v>
      </c>
      <c r="F12" s="30">
        <f t="shared" ref="F12:F13" si="5">+D12-E12</f>
        <v>1284550</v>
      </c>
      <c r="G12" s="30">
        <f t="shared" ref="G12:G13" si="6">+C12*0.5%*0.7</f>
        <v>899185</v>
      </c>
      <c r="H12" s="30">
        <f t="shared" si="2"/>
        <v>385365</v>
      </c>
    </row>
    <row r="13" spans="1:9" s="31" customFormat="1" ht="24.75" customHeight="1">
      <c r="A13" s="28" t="s">
        <v>132</v>
      </c>
      <c r="B13" s="29">
        <v>41</v>
      </c>
      <c r="C13" s="57">
        <f>+'032026'!C51</f>
        <v>256910000</v>
      </c>
      <c r="D13" s="30">
        <f t="shared" si="3"/>
        <v>5138200</v>
      </c>
      <c r="E13" s="30">
        <f t="shared" si="4"/>
        <v>3853650</v>
      </c>
      <c r="F13" s="30">
        <f t="shared" si="5"/>
        <v>1284550</v>
      </c>
      <c r="G13" s="30">
        <f t="shared" si="6"/>
        <v>899185</v>
      </c>
      <c r="H13" s="30">
        <f t="shared" si="2"/>
        <v>385365</v>
      </c>
    </row>
    <row r="14" spans="1:9" s="31" customFormat="1" ht="24.75" customHeight="1">
      <c r="A14" s="28" t="s">
        <v>147</v>
      </c>
      <c r="B14" s="29">
        <v>42</v>
      </c>
      <c r="C14" s="57">
        <f>+'042026'!C52</f>
        <v>262610000</v>
      </c>
      <c r="D14" s="30">
        <f>+C14*0.02</f>
        <v>5252200</v>
      </c>
      <c r="E14" s="30">
        <f t="shared" ref="E14" si="7">+(C14*2%)*0.75</f>
        <v>3939150</v>
      </c>
      <c r="F14" s="30">
        <f t="shared" ref="F14" si="8">+D14-E14</f>
        <v>1313050</v>
      </c>
      <c r="G14" s="30">
        <f t="shared" ref="G14" si="9">+C14*0.5%*0.7</f>
        <v>919134.99999999988</v>
      </c>
      <c r="H14" s="30">
        <f t="shared" ref="H14" si="10">+(C14*0.5%)*0.3</f>
        <v>393915</v>
      </c>
    </row>
    <row r="15" spans="1:9" s="31" customFormat="1" ht="24.75" customHeight="1">
      <c r="A15" s="28" t="s">
        <v>156</v>
      </c>
      <c r="B15" s="29">
        <v>43</v>
      </c>
      <c r="C15" s="57">
        <f>+'052026'!C52</f>
        <v>268310000</v>
      </c>
      <c r="D15" s="30">
        <f>+C15*0.02</f>
        <v>5366200</v>
      </c>
      <c r="E15" s="30">
        <f t="shared" ref="E15" si="11">+(C15*2%)*0.75</f>
        <v>4024650</v>
      </c>
      <c r="F15" s="30">
        <f t="shared" ref="F15" si="12">+D15-E15</f>
        <v>1341550</v>
      </c>
      <c r="G15" s="30">
        <f t="shared" ref="G15" si="13">+C15*0.5%*0.7</f>
        <v>939084.99999999988</v>
      </c>
      <c r="H15" s="30">
        <f t="shared" ref="H15" si="14">+(C15*0.5%)*0.3</f>
        <v>402465</v>
      </c>
    </row>
    <row r="16" spans="1:9" s="31" customFormat="1" ht="24.75" customHeight="1">
      <c r="A16" s="28" t="s">
        <v>157</v>
      </c>
      <c r="B16" s="29">
        <v>42</v>
      </c>
      <c r="C16" s="57">
        <f>+'062026'!C52</f>
        <v>262610000</v>
      </c>
      <c r="D16" s="30">
        <f>+C16*0.02</f>
        <v>5252200</v>
      </c>
      <c r="E16" s="30">
        <f t="shared" ref="E16" si="15">+(C16*2%)*0.75</f>
        <v>3939150</v>
      </c>
      <c r="F16" s="30">
        <f t="shared" ref="F16" si="16">+D16-E16</f>
        <v>1313050</v>
      </c>
      <c r="G16" s="30">
        <f t="shared" ref="G16" si="17">+C16*0.5%*0.7</f>
        <v>919134.99999999988</v>
      </c>
      <c r="H16" s="30">
        <f t="shared" ref="H16" si="18">+(C16*0.5%)*0.3</f>
        <v>393915</v>
      </c>
    </row>
    <row r="17" spans="1:9" s="31" customFormat="1" ht="24.75" customHeight="1">
      <c r="A17" s="28"/>
      <c r="B17" s="29"/>
      <c r="C17" s="57"/>
      <c r="D17" s="30"/>
      <c r="E17" s="30"/>
      <c r="F17" s="30"/>
      <c r="G17" s="30"/>
      <c r="H17" s="30"/>
      <c r="I17" s="75"/>
    </row>
    <row r="18" spans="1:9" s="31" customFormat="1" ht="24.75" customHeight="1">
      <c r="A18" s="28"/>
      <c r="B18" s="29"/>
      <c r="C18" s="57"/>
      <c r="D18" s="30"/>
      <c r="E18" s="30"/>
      <c r="F18" s="30"/>
      <c r="G18" s="30"/>
      <c r="H18" s="30"/>
    </row>
    <row r="19" spans="1:9">
      <c r="A19" s="32"/>
      <c r="B19" s="33"/>
      <c r="C19" s="34"/>
      <c r="D19" s="34"/>
      <c r="E19" s="32"/>
      <c r="F19" s="32"/>
      <c r="G19" s="32"/>
      <c r="H19" s="35"/>
    </row>
    <row r="20" spans="1:9" ht="21" customHeight="1">
      <c r="A20" s="93" t="s">
        <v>18</v>
      </c>
      <c r="B20" s="94"/>
      <c r="C20" s="35">
        <f>SUM(C11:C19)</f>
        <v>1549960000</v>
      </c>
      <c r="D20" s="35">
        <f>SUM(D11:D19)</f>
        <v>30999200</v>
      </c>
      <c r="E20" s="35">
        <f>SUM(E11:E19)</f>
        <v>23249400</v>
      </c>
      <c r="F20" s="35">
        <f>SUBTOTAL(9,F11:F18)</f>
        <v>7749800</v>
      </c>
      <c r="G20" s="35">
        <f>SUBTOTAL(9,G11:G18)</f>
        <v>5424860</v>
      </c>
      <c r="H20" s="35">
        <f>SUBTOTAL(9,H11:H19)</f>
        <v>2324940</v>
      </c>
      <c r="I20" s="39"/>
    </row>
    <row r="21" spans="1:9">
      <c r="D21" s="38"/>
      <c r="E21" s="38"/>
      <c r="F21" s="38"/>
      <c r="G21" s="38"/>
      <c r="H21" s="38"/>
    </row>
    <row r="22" spans="1:9">
      <c r="D22" s="72"/>
      <c r="E22" s="23">
        <f>+D17*0.25%</f>
        <v>0</v>
      </c>
    </row>
    <row r="23" spans="1:9">
      <c r="D23" s="39"/>
    </row>
    <row r="24" spans="1:9">
      <c r="D24" s="73"/>
    </row>
    <row r="26" spans="1:9">
      <c r="D26" s="71"/>
      <c r="F26" s="38"/>
      <c r="G26" s="38"/>
      <c r="H26" s="38"/>
    </row>
    <row r="27" spans="1:9">
      <c r="D27" s="71"/>
    </row>
    <row r="28" spans="1:9">
      <c r="F28" s="72"/>
      <c r="G28" s="72"/>
      <c r="H28" s="72"/>
    </row>
    <row r="29" spans="1:9">
      <c r="F29" s="72"/>
      <c r="G29" s="72"/>
      <c r="H29" s="72"/>
    </row>
    <row r="30" spans="1:9">
      <c r="F30" s="39"/>
      <c r="G30" s="39"/>
      <c r="H30" s="39"/>
    </row>
    <row r="31" spans="1:9">
      <c r="F31" s="39"/>
      <c r="G31" s="39"/>
      <c r="H31" s="39"/>
    </row>
  </sheetData>
  <autoFilter ref="A9:E18" xr:uid="{00000000-0009-0000-0000-000014000000}"/>
  <mergeCells count="2">
    <mergeCell ref="A6:H6"/>
    <mergeCell ref="A20:B20"/>
  </mergeCells>
  <phoneticPr fontId="18" type="noConversion"/>
  <pageMargins left="0.70866141732283472" right="0.70866141732283472" top="0.74803149606299213" bottom="0.74803149606299213" header="0.31496062992125984" footer="0.31496062992125984"/>
  <pageSetup paperSize="9" scale="9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26</vt:i4>
      </vt:variant>
    </vt:vector>
  </HeadingPairs>
  <TitlesOfParts>
    <vt:vector size="41" baseType="lpstr">
      <vt:lpstr>Tết dương lịch 2026</vt:lpstr>
      <vt:lpstr>Tet 2026</vt:lpstr>
      <vt:lpstr>8.3</vt:lpstr>
      <vt:lpstr>30-04</vt:lpstr>
      <vt:lpstr>02-09</vt:lpstr>
      <vt:lpstr>Trung thu</vt:lpstr>
      <vt:lpstr>20.10</vt:lpstr>
      <vt:lpstr>012026</vt:lpstr>
      <vt:lpstr>02026</vt:lpstr>
      <vt:lpstr>032026</vt:lpstr>
      <vt:lpstr>042026</vt:lpstr>
      <vt:lpstr>052026</vt:lpstr>
      <vt:lpstr>062026</vt:lpstr>
      <vt:lpstr>Q1.2026</vt:lpstr>
      <vt:lpstr>TC </vt:lpstr>
      <vt:lpstr>'012026'!Print_Area</vt:lpstr>
      <vt:lpstr>'02026'!Print_Area</vt:lpstr>
      <vt:lpstr>'02-09'!Print_Area</vt:lpstr>
      <vt:lpstr>'032026'!Print_Area</vt:lpstr>
      <vt:lpstr>'042026'!Print_Area</vt:lpstr>
      <vt:lpstr>'052026'!Print_Area</vt:lpstr>
      <vt:lpstr>'062026'!Print_Area</vt:lpstr>
      <vt:lpstr>'20.10'!Print_Area</vt:lpstr>
      <vt:lpstr>'30-04'!Print_Area</vt:lpstr>
      <vt:lpstr>'8.3'!Print_Area</vt:lpstr>
      <vt:lpstr>Q1.2026!Print_Area</vt:lpstr>
      <vt:lpstr>'TC '!Print_Area</vt:lpstr>
      <vt:lpstr>'Tet 2026'!Print_Area</vt:lpstr>
      <vt:lpstr>'Tết dương lịch 2026'!Print_Area</vt:lpstr>
      <vt:lpstr>'Trung thu'!Print_Area</vt:lpstr>
      <vt:lpstr>'012026'!Print_Titles</vt:lpstr>
      <vt:lpstr>'02026'!Print_Titles</vt:lpstr>
      <vt:lpstr>'02-09'!Print_Titles</vt:lpstr>
      <vt:lpstr>'032026'!Print_Titles</vt:lpstr>
      <vt:lpstr>'042026'!Print_Titles</vt:lpstr>
      <vt:lpstr>'052026'!Print_Titles</vt:lpstr>
      <vt:lpstr>'062026'!Print_Titles</vt:lpstr>
      <vt:lpstr>'30-04'!Print_Titles</vt:lpstr>
      <vt:lpstr>Q1.2026!Print_Titles</vt:lpstr>
      <vt:lpstr>'Tet 2026'!Print_Titles</vt:lpstr>
      <vt:lpstr>'Tết dương lịch 2026'!Print_Titles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Ly Nguyễn</cp:lastModifiedBy>
  <cp:lastPrinted>2025-09-23T04:56:10Z</cp:lastPrinted>
  <dcterms:created xsi:type="dcterms:W3CDTF">2020-01-13T09:22:54Z</dcterms:created>
  <dcterms:modified xsi:type="dcterms:W3CDTF">2026-07-14T02:41:07Z</dcterms:modified>
</cp:coreProperties>
</file>